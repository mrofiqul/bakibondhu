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chant Tracker"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quot;৳&quot;#,##0"/>
  </numFmts>
  <fonts count="16">
    <font>
      <name val="Calibri"/>
      <family val="2"/>
      <color theme="1"/>
      <sz val="11"/>
      <scheme val="minor"/>
    </font>
    <font>
      <name val="Arial"/>
      <b val="1"/>
      <color rgb="00FFFFFF"/>
      <sz val="16"/>
    </font>
    <font>
      <name val="Arial"/>
      <i val="1"/>
      <color rgb="005C6A61"/>
      <sz val="9"/>
    </font>
    <font>
      <name val="Arial"/>
      <b val="1"/>
      <color rgb="000E7A57"/>
      <sz val="8.5"/>
    </font>
    <font>
      <name val="Arial"/>
      <b val="1"/>
      <color rgb="00FFFFFF"/>
      <sz val="9.5"/>
    </font>
    <font>
      <name val="Arial"/>
      <color rgb="0016201B"/>
      <sz val="9"/>
    </font>
    <font>
      <name val="Arial"/>
      <b val="1"/>
      <color rgb="005C6A61"/>
      <sz val="9"/>
    </font>
    <font>
      <name val="Arial"/>
      <b val="1"/>
      <color rgb="00FFFFFF"/>
      <sz val="15"/>
    </font>
    <font>
      <name val="Arial"/>
      <b val="1"/>
      <color rgb="000E7A57"/>
      <sz val="10.5"/>
    </font>
    <font>
      <name val="Arial"/>
      <color rgb="0016201B"/>
      <sz val="10"/>
    </font>
    <font>
      <name val="Arial"/>
      <b val="1"/>
      <color rgb="0016201B"/>
      <sz val="11"/>
    </font>
    <font>
      <name val="Arial"/>
      <i val="1"/>
      <color rgb="005C6A61"/>
      <sz val="8.5"/>
    </font>
    <font>
      <name val="Arial"/>
      <b val="1"/>
      <color rgb="00FFFFFF"/>
      <sz val="9"/>
    </font>
    <font>
      <name val="Arial"/>
      <color rgb="0016201B"/>
      <sz val="9.5"/>
    </font>
    <font>
      <name val="Arial"/>
      <b val="1"/>
      <color rgb="0016201B"/>
      <sz val="9.5"/>
    </font>
    <font>
      <name val="Arial"/>
      <b val="1"/>
      <color rgb="0016201B"/>
      <sz val="9"/>
    </font>
  </fonts>
  <fills count="10">
    <fill>
      <patternFill/>
    </fill>
    <fill>
      <patternFill patternType="gray125"/>
    </fill>
    <fill>
      <patternFill patternType="solid">
        <fgColor rgb="0016201B"/>
      </patternFill>
    </fill>
    <fill>
      <patternFill patternType="solid">
        <fgColor rgb="00D6E8DE"/>
      </patternFill>
    </fill>
    <fill>
      <patternFill patternType="solid">
        <fgColor rgb="000E7A57"/>
      </patternFill>
    </fill>
    <fill>
      <patternFill patternType="solid">
        <fgColor rgb="00F0E4C8"/>
      </patternFill>
    </fill>
    <fill>
      <patternFill patternType="solid">
        <fgColor rgb="00FFF4C7"/>
      </patternFill>
    </fill>
    <fill>
      <patternFill patternType="solid">
        <fgColor rgb="00FFFFFF"/>
      </patternFill>
    </fill>
    <fill>
      <patternFill patternType="solid">
        <fgColor rgb="00FBF6D8"/>
      </patternFill>
    </fill>
    <fill>
      <patternFill patternType="solid">
        <fgColor rgb="00F2F5EF"/>
      </patternFill>
    </fill>
  </fills>
  <borders count="5">
    <border>
      <left/>
      <right/>
      <top/>
      <bottom/>
      <diagonal/>
    </border>
    <border>
      <left style="thin">
        <color rgb="00D6DCD1"/>
      </left>
      <right style="thin">
        <color rgb="00D6DCD1"/>
      </right>
      <top style="thin">
        <color rgb="00D6DCD1"/>
      </top>
      <bottom style="thin">
        <color rgb="00D6DCD1"/>
      </bottom>
    </border>
    <border>
      <left/>
      <right/>
      <top style="thin">
        <color rgb="00D6DCD1"/>
      </top>
      <bottom/>
      <diagonal/>
    </border>
    <border>
      <left/>
      <right style="thin">
        <color rgb="00D6DCD1"/>
      </right>
      <top style="thin">
        <color rgb="00D6DCD1"/>
      </top>
      <bottom/>
      <diagonal/>
    </border>
    <border>
      <left/>
      <right style="thin">
        <color rgb="00D6DCD1"/>
      </right>
      <top style="thin">
        <color rgb="00D6DCD1"/>
      </top>
      <bottom style="thin">
        <color rgb="00D6DCD1"/>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0" applyAlignment="1" pivotButton="0" quotePrefix="0" xfId="0">
      <alignment vertical="center" inden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indent="1"/>
    </xf>
    <xf numFmtId="164" fontId="2" fillId="5" borderId="1" applyAlignment="1" pivotButton="0" quotePrefix="0" xfId="0">
      <alignment horizontal="left" vertical="center" wrapText="1" indent="1"/>
    </xf>
    <xf numFmtId="0" fontId="6"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indent="1"/>
    </xf>
    <xf numFmtId="164" fontId="5" fillId="6" borderId="1" applyAlignment="1" pivotButton="0" quotePrefix="0" xfId="0">
      <alignment horizontal="left" vertical="center" wrapText="1" inden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indent="1"/>
    </xf>
    <xf numFmtId="164" fontId="5" fillId="8" borderId="1" applyAlignment="1" pivotButton="0" quotePrefix="0" xfId="0">
      <alignment horizontal="left" vertical="center" wrapText="1" indent="1"/>
    </xf>
    <xf numFmtId="0" fontId="5" fillId="9" borderId="1" applyAlignment="1" pivotButton="0" quotePrefix="0" xfId="0">
      <alignment horizontal="center" vertical="center" wrapText="1"/>
    </xf>
    <xf numFmtId="0" fontId="7" fillId="2" borderId="0" applyAlignment="1" pivotButton="0" quotePrefix="0" xfId="0">
      <alignment vertical="center" indent="1"/>
    </xf>
    <xf numFmtId="0" fontId="2" fillId="0" borderId="0" applyAlignment="1" pivotButton="0" quotePrefix="0" xfId="0">
      <alignment indent="1"/>
    </xf>
    <xf numFmtId="0" fontId="8" fillId="3" borderId="0" applyAlignment="1" pivotButton="0" quotePrefix="0" xfId="0">
      <alignment vertical="center" indent="1"/>
    </xf>
    <xf numFmtId="0" fontId="9" fillId="0" borderId="1" pivotButton="0" quotePrefix="0" xfId="0"/>
    <xf numFmtId="0" fontId="10" fillId="0" borderId="1" applyAlignment="1" pivotButton="0" quotePrefix="0" xfId="0">
      <alignment horizontal="center"/>
    </xf>
    <xf numFmtId="0" fontId="0" fillId="0" borderId="4" pivotButton="0" quotePrefix="0" xfId="0"/>
    <xf numFmtId="164" fontId="10" fillId="0" borderId="1" applyAlignment="1" pivotButton="0" quotePrefix="0" xfId="0">
      <alignment horizontal="center"/>
    </xf>
    <xf numFmtId="0" fontId="11" fillId="0" borderId="0" applyAlignment="1" pivotButton="0" quotePrefix="0" xfId="0">
      <alignment wrapText="1" indent="1"/>
    </xf>
    <xf numFmtId="0" fontId="12" fillId="4" borderId="1" applyAlignment="1" pivotButton="0" quotePrefix="0" xfId="0">
      <alignment horizontal="center" vertical="center"/>
    </xf>
    <xf numFmtId="0" fontId="13" fillId="6" borderId="1" applyAlignment="1" pivotButton="0" quotePrefix="0" xfId="0">
      <alignment indent="1"/>
    </xf>
    <xf numFmtId="0" fontId="14" fillId="0" borderId="1" applyAlignment="1" pivotButton="0" quotePrefix="0" xfId="0">
      <alignment horizontal="center"/>
    </xf>
    <xf numFmtId="164" fontId="14" fillId="0" borderId="1" applyAlignment="1" pivotButton="0" quotePrefix="0" xfId="0">
      <alignment horizontal="center"/>
    </xf>
    <xf numFmtId="0" fontId="15" fillId="5"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
  <sheetViews>
    <sheetView workbookViewId="0">
      <pane ySplit="5" topLeftCell="A6" activePane="bottomLeft" state="frozen"/>
      <selection pane="bottomLeft" activeCell="A1" sqref="A1"/>
    </sheetView>
  </sheetViews>
  <sheetFormatPr baseColWidth="8" defaultRowHeight="15"/>
  <cols>
    <col width="5" customWidth="1" min="1" max="1"/>
    <col width="11" customWidth="1" min="2" max="2"/>
    <col width="22" customWidth="1" min="3" max="3"/>
    <col width="20" customWidth="1" min="4" max="4"/>
    <col width="18" customWidth="1" min="5" max="5"/>
    <col width="14" customWidth="1" min="6" max="6"/>
    <col width="20" customWidth="1" min="7" max="7"/>
    <col width="11" customWidth="1" min="8" max="8"/>
    <col width="14" customWidth="1" min="9" max="9"/>
    <col width="14" customWidth="1" min="10" max="10"/>
    <col width="30" customWidth="1" min="11" max="11"/>
    <col width="26" customWidth="1" min="12" max="12"/>
    <col width="12" customWidth="1" min="13" max="13"/>
    <col width="10" customWidth="1" min="14" max="14"/>
    <col width="12" customWidth="1" min="15" max="15"/>
    <col width="30" customWidth="1" min="16" max="16"/>
  </cols>
  <sheetData>
    <row r="1" ht="30" customHeight="1">
      <c r="A1" s="1" t="inlineStr">
        <is>
          <t>BakiBondhu — Phase 0 Merchant Tracker</t>
        </is>
      </c>
    </row>
    <row r="2" ht="26" customHeight="1">
      <c r="A2" s="2" t="inlineStr">
        <is>
          <t>Log one row per merchant, right after you walk away. Aim for 20–30. Fill the yellow cells. Use the dropdowns in the last three grey columns so the Summary tab can count them.</t>
        </is>
      </c>
    </row>
    <row r="3" ht="20" customHeight="1">
      <c r="A3" s="3" t="inlineStr">
        <is>
          <t>LEGEND:  Yellow = you fill in   ·   Row 5 is a filled-in EXAMPLE (delete it or overwrite)   ·   Signal drives the Summary tab → decide your wedge</t>
        </is>
      </c>
    </row>
    <row r="4" ht="34" customHeight="1">
      <c r="A4" s="4" t="inlineStr">
        <is>
          <t>#</t>
        </is>
      </c>
      <c r="B4" s="4" t="inlineStr">
        <is>
          <t>Date</t>
        </is>
      </c>
      <c r="C4" s="4" t="inlineStr">
        <is>
          <t>Merchant / Shop name</t>
        </is>
      </c>
      <c r="D4" s="4" t="inlineStr">
        <is>
          <t>Vertical (shop type)</t>
        </is>
      </c>
      <c r="E4" s="4" t="inlineStr">
        <is>
          <t>Location / market</t>
        </is>
      </c>
      <c r="F4" s="4" t="inlineStr">
        <is>
          <t>Phone</t>
        </is>
      </c>
      <c r="G4" s="4" t="inlineStr">
        <is>
          <t>Current system</t>
        </is>
      </c>
      <c r="H4" s="4" t="inlineStr">
        <is>
          <t>Credit cust/wk</t>
        </is>
      </c>
      <c r="I4" s="4" t="inlineStr">
        <is>
          <t>Total baki (৳)</t>
        </is>
      </c>
      <c r="J4" s="4" t="inlineStr">
        <is>
          <t>Monthly loss (৳)</t>
        </is>
      </c>
      <c r="K4" s="4" t="inlineStr">
        <is>
          <t>Biggest pain (their words)</t>
        </is>
      </c>
      <c r="L4" s="4" t="inlineStr">
        <is>
          <t>Tried an app? Why quit?</t>
        </is>
      </c>
      <c r="M4" s="4" t="inlineStr">
        <is>
          <t>Spends on collection?</t>
        </is>
      </c>
      <c r="N4" s="4" t="inlineStr">
        <is>
          <t>Follow-up?</t>
        </is>
      </c>
      <c r="O4" s="4" t="inlineStr">
        <is>
          <t>Signal</t>
        </is>
      </c>
      <c r="P4" s="4" t="inlineStr">
        <is>
          <t>Notes</t>
        </is>
      </c>
    </row>
    <row r="5" ht="30" customHeight="1">
      <c r="A5" s="5" t="inlineStr">
        <is>
          <t>EX</t>
        </is>
      </c>
      <c r="B5" s="5" t="inlineStr">
        <is>
          <t>6 Sep</t>
        </is>
      </c>
      <c r="C5" s="6" t="inlineStr">
        <is>
          <t>Karim Store (grocery)</t>
        </is>
      </c>
      <c r="D5" s="6" t="inlineStr">
        <is>
          <t>Grocery / kirana</t>
        </is>
      </c>
      <c r="E5" s="6" t="inlineStr">
        <is>
          <t>Mirpur 10 bazar</t>
        </is>
      </c>
      <c r="F5" s="6" t="inlineStr">
        <is>
          <t>01XXXXXXXXX</t>
        </is>
      </c>
      <c r="G5" s="6" t="inlineStr">
        <is>
          <t>Paper khata</t>
        </is>
      </c>
      <c r="H5" s="5" t="n">
        <v>25</v>
      </c>
      <c r="I5" s="7" t="n">
        <v>45000</v>
      </c>
      <c r="J5" s="7" t="n">
        <v>8000</v>
      </c>
      <c r="K5" s="6" t="inlineStr">
        <is>
          <t>Bhule jai ke koto baki — ar cheye asojhko lage taka chaite</t>
        </is>
      </c>
      <c r="L5" s="6" t="inlineStr">
        <is>
          <t>TallyKhata — 'bujhi na, English beshi'</t>
        </is>
      </c>
      <c r="M5" s="5" t="inlineStr">
        <is>
          <t>Y</t>
        </is>
      </c>
      <c r="N5" s="5" t="inlineStr">
        <is>
          <t>Y</t>
        </is>
      </c>
      <c r="O5" s="5" t="inlineStr">
        <is>
          <t>Build</t>
        </is>
      </c>
      <c r="P5" s="6" t="inlineStr">
        <is>
          <t>Very keen; asked when ready. Referred 2 wholesalers.</t>
        </is>
      </c>
    </row>
    <row r="6" ht="26" customHeight="1">
      <c r="A6" s="8" t="n">
        <v>1</v>
      </c>
      <c r="B6" s="9" t="n"/>
      <c r="C6" s="10" t="n"/>
      <c r="D6" s="10" t="n"/>
      <c r="E6" s="10" t="n"/>
      <c r="F6" s="10" t="n"/>
      <c r="G6" s="10" t="n"/>
      <c r="H6" s="9" t="n"/>
      <c r="I6" s="11" t="n"/>
      <c r="J6" s="11" t="n"/>
      <c r="K6" s="10" t="n"/>
      <c r="L6" s="10" t="n"/>
      <c r="M6" s="12" t="n"/>
      <c r="N6" s="12" t="n"/>
      <c r="O6" s="12" t="n"/>
      <c r="P6" s="10" t="n"/>
    </row>
    <row r="7" ht="26" customHeight="1">
      <c r="A7" s="13" t="n">
        <v>2</v>
      </c>
      <c r="B7" s="14" t="n"/>
      <c r="C7" s="15" t="n"/>
      <c r="D7" s="15" t="n"/>
      <c r="E7" s="15" t="n"/>
      <c r="F7" s="15" t="n"/>
      <c r="G7" s="15" t="n"/>
      <c r="H7" s="14" t="n"/>
      <c r="I7" s="16" t="n"/>
      <c r="J7" s="16" t="n"/>
      <c r="K7" s="15" t="n"/>
      <c r="L7" s="15" t="n"/>
      <c r="M7" s="17" t="n"/>
      <c r="N7" s="17" t="n"/>
      <c r="O7" s="17" t="n"/>
      <c r="P7" s="15" t="n"/>
    </row>
    <row r="8" ht="26" customHeight="1">
      <c r="A8" s="8" t="n">
        <v>3</v>
      </c>
      <c r="B8" s="9" t="n"/>
      <c r="C8" s="10" t="n"/>
      <c r="D8" s="10" t="n"/>
      <c r="E8" s="10" t="n"/>
      <c r="F8" s="10" t="n"/>
      <c r="G8" s="10" t="n"/>
      <c r="H8" s="9" t="n"/>
      <c r="I8" s="11" t="n"/>
      <c r="J8" s="11" t="n"/>
      <c r="K8" s="10" t="n"/>
      <c r="L8" s="10" t="n"/>
      <c r="M8" s="12" t="n"/>
      <c r="N8" s="12" t="n"/>
      <c r="O8" s="12" t="n"/>
      <c r="P8" s="10" t="n"/>
    </row>
    <row r="9" ht="26" customHeight="1">
      <c r="A9" s="13" t="n">
        <v>4</v>
      </c>
      <c r="B9" s="14" t="n"/>
      <c r="C9" s="15" t="n"/>
      <c r="D9" s="15" t="n"/>
      <c r="E9" s="15" t="n"/>
      <c r="F9" s="15" t="n"/>
      <c r="G9" s="15" t="n"/>
      <c r="H9" s="14" t="n"/>
      <c r="I9" s="16" t="n"/>
      <c r="J9" s="16" t="n"/>
      <c r="K9" s="15" t="n"/>
      <c r="L9" s="15" t="n"/>
      <c r="M9" s="17" t="n"/>
      <c r="N9" s="17" t="n"/>
      <c r="O9" s="17" t="n"/>
      <c r="P9" s="15" t="n"/>
    </row>
    <row r="10" ht="26" customHeight="1">
      <c r="A10" s="8" t="n">
        <v>5</v>
      </c>
      <c r="B10" s="9" t="n"/>
      <c r="C10" s="10" t="n"/>
      <c r="D10" s="10" t="n"/>
      <c r="E10" s="10" t="n"/>
      <c r="F10" s="10" t="n"/>
      <c r="G10" s="10" t="n"/>
      <c r="H10" s="9" t="n"/>
      <c r="I10" s="11" t="n"/>
      <c r="J10" s="11" t="n"/>
      <c r="K10" s="10" t="n"/>
      <c r="L10" s="10" t="n"/>
      <c r="M10" s="12" t="n"/>
      <c r="N10" s="12" t="n"/>
      <c r="O10" s="12" t="n"/>
      <c r="P10" s="10" t="n"/>
    </row>
    <row r="11" ht="26" customHeight="1">
      <c r="A11" s="13" t="n">
        <v>6</v>
      </c>
      <c r="B11" s="14" t="n"/>
      <c r="C11" s="15" t="n"/>
      <c r="D11" s="15" t="n"/>
      <c r="E11" s="15" t="n"/>
      <c r="F11" s="15" t="n"/>
      <c r="G11" s="15" t="n"/>
      <c r="H11" s="14" t="n"/>
      <c r="I11" s="16" t="n"/>
      <c r="J11" s="16" t="n"/>
      <c r="K11" s="15" t="n"/>
      <c r="L11" s="15" t="n"/>
      <c r="M11" s="17" t="n"/>
      <c r="N11" s="17" t="n"/>
      <c r="O11" s="17" t="n"/>
      <c r="P11" s="15" t="n"/>
    </row>
    <row r="12" ht="26" customHeight="1">
      <c r="A12" s="8" t="n">
        <v>7</v>
      </c>
      <c r="B12" s="9" t="n"/>
      <c r="C12" s="10" t="n"/>
      <c r="D12" s="10" t="n"/>
      <c r="E12" s="10" t="n"/>
      <c r="F12" s="10" t="n"/>
      <c r="G12" s="10" t="n"/>
      <c r="H12" s="9" t="n"/>
      <c r="I12" s="11" t="n"/>
      <c r="J12" s="11" t="n"/>
      <c r="K12" s="10" t="n"/>
      <c r="L12" s="10" t="n"/>
      <c r="M12" s="12" t="n"/>
      <c r="N12" s="12" t="n"/>
      <c r="O12" s="12" t="n"/>
      <c r="P12" s="10" t="n"/>
    </row>
    <row r="13" ht="26" customHeight="1">
      <c r="A13" s="13" t="n">
        <v>8</v>
      </c>
      <c r="B13" s="14" t="n"/>
      <c r="C13" s="15" t="n"/>
      <c r="D13" s="15" t="n"/>
      <c r="E13" s="15" t="n"/>
      <c r="F13" s="15" t="n"/>
      <c r="G13" s="15" t="n"/>
      <c r="H13" s="14" t="n"/>
      <c r="I13" s="16" t="n"/>
      <c r="J13" s="16" t="n"/>
      <c r="K13" s="15" t="n"/>
      <c r="L13" s="15" t="n"/>
      <c r="M13" s="17" t="n"/>
      <c r="N13" s="17" t="n"/>
      <c r="O13" s="17" t="n"/>
      <c r="P13" s="15" t="n"/>
    </row>
    <row r="14" ht="26" customHeight="1">
      <c r="A14" s="8" t="n">
        <v>9</v>
      </c>
      <c r="B14" s="9" t="n"/>
      <c r="C14" s="10" t="n"/>
      <c r="D14" s="10" t="n"/>
      <c r="E14" s="10" t="n"/>
      <c r="F14" s="10" t="n"/>
      <c r="G14" s="10" t="n"/>
      <c r="H14" s="9" t="n"/>
      <c r="I14" s="11" t="n"/>
      <c r="J14" s="11" t="n"/>
      <c r="K14" s="10" t="n"/>
      <c r="L14" s="10" t="n"/>
      <c r="M14" s="12" t="n"/>
      <c r="N14" s="12" t="n"/>
      <c r="O14" s="12" t="n"/>
      <c r="P14" s="10" t="n"/>
    </row>
    <row r="15" ht="26" customHeight="1">
      <c r="A15" s="13" t="n">
        <v>10</v>
      </c>
      <c r="B15" s="14" t="n"/>
      <c r="C15" s="15" t="n"/>
      <c r="D15" s="15" t="n"/>
      <c r="E15" s="15" t="n"/>
      <c r="F15" s="15" t="n"/>
      <c r="G15" s="15" t="n"/>
      <c r="H15" s="14" t="n"/>
      <c r="I15" s="16" t="n"/>
      <c r="J15" s="16" t="n"/>
      <c r="K15" s="15" t="n"/>
      <c r="L15" s="15" t="n"/>
      <c r="M15" s="17" t="n"/>
      <c r="N15" s="17" t="n"/>
      <c r="O15" s="17" t="n"/>
      <c r="P15" s="15" t="n"/>
    </row>
    <row r="16" ht="26" customHeight="1">
      <c r="A16" s="8" t="n">
        <v>11</v>
      </c>
      <c r="B16" s="9" t="n"/>
      <c r="C16" s="10" t="n"/>
      <c r="D16" s="10" t="n"/>
      <c r="E16" s="10" t="n"/>
      <c r="F16" s="10" t="n"/>
      <c r="G16" s="10" t="n"/>
      <c r="H16" s="9" t="n"/>
      <c r="I16" s="11" t="n"/>
      <c r="J16" s="11" t="n"/>
      <c r="K16" s="10" t="n"/>
      <c r="L16" s="10" t="n"/>
      <c r="M16" s="12" t="n"/>
      <c r="N16" s="12" t="n"/>
      <c r="O16" s="12" t="n"/>
      <c r="P16" s="10" t="n"/>
    </row>
    <row r="17" ht="26" customHeight="1">
      <c r="A17" s="13" t="n">
        <v>12</v>
      </c>
      <c r="B17" s="14" t="n"/>
      <c r="C17" s="15" t="n"/>
      <c r="D17" s="15" t="n"/>
      <c r="E17" s="15" t="n"/>
      <c r="F17" s="15" t="n"/>
      <c r="G17" s="15" t="n"/>
      <c r="H17" s="14" t="n"/>
      <c r="I17" s="16" t="n"/>
      <c r="J17" s="16" t="n"/>
      <c r="K17" s="15" t="n"/>
      <c r="L17" s="15" t="n"/>
      <c r="M17" s="17" t="n"/>
      <c r="N17" s="17" t="n"/>
      <c r="O17" s="17" t="n"/>
      <c r="P17" s="15" t="n"/>
    </row>
    <row r="18" ht="26" customHeight="1">
      <c r="A18" s="8" t="n">
        <v>13</v>
      </c>
      <c r="B18" s="9" t="n"/>
      <c r="C18" s="10" t="n"/>
      <c r="D18" s="10" t="n"/>
      <c r="E18" s="10" t="n"/>
      <c r="F18" s="10" t="n"/>
      <c r="G18" s="10" t="n"/>
      <c r="H18" s="9" t="n"/>
      <c r="I18" s="11" t="n"/>
      <c r="J18" s="11" t="n"/>
      <c r="K18" s="10" t="n"/>
      <c r="L18" s="10" t="n"/>
      <c r="M18" s="12" t="n"/>
      <c r="N18" s="12" t="n"/>
      <c r="O18" s="12" t="n"/>
      <c r="P18" s="10" t="n"/>
    </row>
    <row r="19" ht="26" customHeight="1">
      <c r="A19" s="13" t="n">
        <v>14</v>
      </c>
      <c r="B19" s="14" t="n"/>
      <c r="C19" s="15" t="n"/>
      <c r="D19" s="15" t="n"/>
      <c r="E19" s="15" t="n"/>
      <c r="F19" s="15" t="n"/>
      <c r="G19" s="15" t="n"/>
      <c r="H19" s="14" t="n"/>
      <c r="I19" s="16" t="n"/>
      <c r="J19" s="16" t="n"/>
      <c r="K19" s="15" t="n"/>
      <c r="L19" s="15" t="n"/>
      <c r="M19" s="17" t="n"/>
      <c r="N19" s="17" t="n"/>
      <c r="O19" s="17" t="n"/>
      <c r="P19" s="15" t="n"/>
    </row>
    <row r="20" ht="26" customHeight="1">
      <c r="A20" s="8" t="n">
        <v>15</v>
      </c>
      <c r="B20" s="9" t="n"/>
      <c r="C20" s="10" t="n"/>
      <c r="D20" s="10" t="n"/>
      <c r="E20" s="10" t="n"/>
      <c r="F20" s="10" t="n"/>
      <c r="G20" s="10" t="n"/>
      <c r="H20" s="9" t="n"/>
      <c r="I20" s="11" t="n"/>
      <c r="J20" s="11" t="n"/>
      <c r="K20" s="10" t="n"/>
      <c r="L20" s="10" t="n"/>
      <c r="M20" s="12" t="n"/>
      <c r="N20" s="12" t="n"/>
      <c r="O20" s="12" t="n"/>
      <c r="P20" s="10" t="n"/>
    </row>
    <row r="21" ht="26" customHeight="1">
      <c r="A21" s="13" t="n">
        <v>16</v>
      </c>
      <c r="B21" s="14" t="n"/>
      <c r="C21" s="15" t="n"/>
      <c r="D21" s="15" t="n"/>
      <c r="E21" s="15" t="n"/>
      <c r="F21" s="15" t="n"/>
      <c r="G21" s="15" t="n"/>
      <c r="H21" s="14" t="n"/>
      <c r="I21" s="16" t="n"/>
      <c r="J21" s="16" t="n"/>
      <c r="K21" s="15" t="n"/>
      <c r="L21" s="15" t="n"/>
      <c r="M21" s="17" t="n"/>
      <c r="N21" s="17" t="n"/>
      <c r="O21" s="17" t="n"/>
      <c r="P21" s="15" t="n"/>
    </row>
    <row r="22" ht="26" customHeight="1">
      <c r="A22" s="8" t="n">
        <v>17</v>
      </c>
      <c r="B22" s="9" t="n"/>
      <c r="C22" s="10" t="n"/>
      <c r="D22" s="10" t="n"/>
      <c r="E22" s="10" t="n"/>
      <c r="F22" s="10" t="n"/>
      <c r="G22" s="10" t="n"/>
      <c r="H22" s="9" t="n"/>
      <c r="I22" s="11" t="n"/>
      <c r="J22" s="11" t="n"/>
      <c r="K22" s="10" t="n"/>
      <c r="L22" s="10" t="n"/>
      <c r="M22" s="12" t="n"/>
      <c r="N22" s="12" t="n"/>
      <c r="O22" s="12" t="n"/>
      <c r="P22" s="10" t="n"/>
    </row>
    <row r="23" ht="26" customHeight="1">
      <c r="A23" s="13" t="n">
        <v>18</v>
      </c>
      <c r="B23" s="14" t="n"/>
      <c r="C23" s="15" t="n"/>
      <c r="D23" s="15" t="n"/>
      <c r="E23" s="15" t="n"/>
      <c r="F23" s="15" t="n"/>
      <c r="G23" s="15" t="n"/>
      <c r="H23" s="14" t="n"/>
      <c r="I23" s="16" t="n"/>
      <c r="J23" s="16" t="n"/>
      <c r="K23" s="15" t="n"/>
      <c r="L23" s="15" t="n"/>
      <c r="M23" s="17" t="n"/>
      <c r="N23" s="17" t="n"/>
      <c r="O23" s="17" t="n"/>
      <c r="P23" s="15" t="n"/>
    </row>
    <row r="24" ht="26" customHeight="1">
      <c r="A24" s="8" t="n">
        <v>19</v>
      </c>
      <c r="B24" s="9" t="n"/>
      <c r="C24" s="10" t="n"/>
      <c r="D24" s="10" t="n"/>
      <c r="E24" s="10" t="n"/>
      <c r="F24" s="10" t="n"/>
      <c r="G24" s="10" t="n"/>
      <c r="H24" s="9" t="n"/>
      <c r="I24" s="11" t="n"/>
      <c r="J24" s="11" t="n"/>
      <c r="K24" s="10" t="n"/>
      <c r="L24" s="10" t="n"/>
      <c r="M24" s="12" t="n"/>
      <c r="N24" s="12" t="n"/>
      <c r="O24" s="12" t="n"/>
      <c r="P24" s="10" t="n"/>
    </row>
    <row r="25" ht="26" customHeight="1">
      <c r="A25" s="13" t="n">
        <v>20</v>
      </c>
      <c r="B25" s="14" t="n"/>
      <c r="C25" s="15" t="n"/>
      <c r="D25" s="15" t="n"/>
      <c r="E25" s="15" t="n"/>
      <c r="F25" s="15" t="n"/>
      <c r="G25" s="15" t="n"/>
      <c r="H25" s="14" t="n"/>
      <c r="I25" s="16" t="n"/>
      <c r="J25" s="16" t="n"/>
      <c r="K25" s="15" t="n"/>
      <c r="L25" s="15" t="n"/>
      <c r="M25" s="17" t="n"/>
      <c r="N25" s="17" t="n"/>
      <c r="O25" s="17" t="n"/>
      <c r="P25" s="15" t="n"/>
    </row>
    <row r="26" ht="26" customHeight="1">
      <c r="A26" s="8" t="n">
        <v>21</v>
      </c>
      <c r="B26" s="9" t="n"/>
      <c r="C26" s="10" t="n"/>
      <c r="D26" s="10" t="n"/>
      <c r="E26" s="10" t="n"/>
      <c r="F26" s="10" t="n"/>
      <c r="G26" s="10" t="n"/>
      <c r="H26" s="9" t="n"/>
      <c r="I26" s="11" t="n"/>
      <c r="J26" s="11" t="n"/>
      <c r="K26" s="10" t="n"/>
      <c r="L26" s="10" t="n"/>
      <c r="M26" s="12" t="n"/>
      <c r="N26" s="12" t="n"/>
      <c r="O26" s="12" t="n"/>
      <c r="P26" s="10" t="n"/>
    </row>
    <row r="27" ht="26" customHeight="1">
      <c r="A27" s="13" t="n">
        <v>22</v>
      </c>
      <c r="B27" s="14" t="n"/>
      <c r="C27" s="15" t="n"/>
      <c r="D27" s="15" t="n"/>
      <c r="E27" s="15" t="n"/>
      <c r="F27" s="15" t="n"/>
      <c r="G27" s="15" t="n"/>
      <c r="H27" s="14" t="n"/>
      <c r="I27" s="16" t="n"/>
      <c r="J27" s="16" t="n"/>
      <c r="K27" s="15" t="n"/>
      <c r="L27" s="15" t="n"/>
      <c r="M27" s="17" t="n"/>
      <c r="N27" s="17" t="n"/>
      <c r="O27" s="17" t="n"/>
      <c r="P27" s="15" t="n"/>
    </row>
    <row r="28" ht="26" customHeight="1">
      <c r="A28" s="8" t="n">
        <v>23</v>
      </c>
      <c r="B28" s="9" t="n"/>
      <c r="C28" s="10" t="n"/>
      <c r="D28" s="10" t="n"/>
      <c r="E28" s="10" t="n"/>
      <c r="F28" s="10" t="n"/>
      <c r="G28" s="10" t="n"/>
      <c r="H28" s="9" t="n"/>
      <c r="I28" s="11" t="n"/>
      <c r="J28" s="11" t="n"/>
      <c r="K28" s="10" t="n"/>
      <c r="L28" s="10" t="n"/>
      <c r="M28" s="12" t="n"/>
      <c r="N28" s="12" t="n"/>
      <c r="O28" s="12" t="n"/>
      <c r="P28" s="10" t="n"/>
    </row>
    <row r="29" ht="26" customHeight="1">
      <c r="A29" s="13" t="n">
        <v>24</v>
      </c>
      <c r="B29" s="14" t="n"/>
      <c r="C29" s="15" t="n"/>
      <c r="D29" s="15" t="n"/>
      <c r="E29" s="15" t="n"/>
      <c r="F29" s="15" t="n"/>
      <c r="G29" s="15" t="n"/>
      <c r="H29" s="14" t="n"/>
      <c r="I29" s="16" t="n"/>
      <c r="J29" s="16" t="n"/>
      <c r="K29" s="15" t="n"/>
      <c r="L29" s="15" t="n"/>
      <c r="M29" s="17" t="n"/>
      <c r="N29" s="17" t="n"/>
      <c r="O29" s="17" t="n"/>
      <c r="P29" s="15" t="n"/>
    </row>
    <row r="30" ht="26" customHeight="1">
      <c r="A30" s="8" t="n">
        <v>25</v>
      </c>
      <c r="B30" s="9" t="n"/>
      <c r="C30" s="10" t="n"/>
      <c r="D30" s="10" t="n"/>
      <c r="E30" s="10" t="n"/>
      <c r="F30" s="10" t="n"/>
      <c r="G30" s="10" t="n"/>
      <c r="H30" s="9" t="n"/>
      <c r="I30" s="11" t="n"/>
      <c r="J30" s="11" t="n"/>
      <c r="K30" s="10" t="n"/>
      <c r="L30" s="10" t="n"/>
      <c r="M30" s="12" t="n"/>
      <c r="N30" s="12" t="n"/>
      <c r="O30" s="12" t="n"/>
      <c r="P30" s="10" t="n"/>
    </row>
    <row r="31" ht="26" customHeight="1">
      <c r="A31" s="13" t="n">
        <v>26</v>
      </c>
      <c r="B31" s="14" t="n"/>
      <c r="C31" s="15" t="n"/>
      <c r="D31" s="15" t="n"/>
      <c r="E31" s="15" t="n"/>
      <c r="F31" s="15" t="n"/>
      <c r="G31" s="15" t="n"/>
      <c r="H31" s="14" t="n"/>
      <c r="I31" s="16" t="n"/>
      <c r="J31" s="16" t="n"/>
      <c r="K31" s="15" t="n"/>
      <c r="L31" s="15" t="n"/>
      <c r="M31" s="17" t="n"/>
      <c r="N31" s="17" t="n"/>
      <c r="O31" s="17" t="n"/>
      <c r="P31" s="15" t="n"/>
    </row>
    <row r="32" ht="26" customHeight="1">
      <c r="A32" s="8" t="n">
        <v>27</v>
      </c>
      <c r="B32" s="9" t="n"/>
      <c r="C32" s="10" t="n"/>
      <c r="D32" s="10" t="n"/>
      <c r="E32" s="10" t="n"/>
      <c r="F32" s="10" t="n"/>
      <c r="G32" s="10" t="n"/>
      <c r="H32" s="9" t="n"/>
      <c r="I32" s="11" t="n"/>
      <c r="J32" s="11" t="n"/>
      <c r="K32" s="10" t="n"/>
      <c r="L32" s="10" t="n"/>
      <c r="M32" s="12" t="n"/>
      <c r="N32" s="12" t="n"/>
      <c r="O32" s="12" t="n"/>
      <c r="P32" s="10" t="n"/>
    </row>
    <row r="33" ht="26" customHeight="1">
      <c r="A33" s="13" t="n">
        <v>28</v>
      </c>
      <c r="B33" s="14" t="n"/>
      <c r="C33" s="15" t="n"/>
      <c r="D33" s="15" t="n"/>
      <c r="E33" s="15" t="n"/>
      <c r="F33" s="15" t="n"/>
      <c r="G33" s="15" t="n"/>
      <c r="H33" s="14" t="n"/>
      <c r="I33" s="16" t="n"/>
      <c r="J33" s="16" t="n"/>
      <c r="K33" s="15" t="n"/>
      <c r="L33" s="15" t="n"/>
      <c r="M33" s="17" t="n"/>
      <c r="N33" s="17" t="n"/>
      <c r="O33" s="17" t="n"/>
      <c r="P33" s="15" t="n"/>
    </row>
    <row r="34" ht="26" customHeight="1">
      <c r="A34" s="8" t="n">
        <v>29</v>
      </c>
      <c r="B34" s="9" t="n"/>
      <c r="C34" s="10" t="n"/>
      <c r="D34" s="10" t="n"/>
      <c r="E34" s="10" t="n"/>
      <c r="F34" s="10" t="n"/>
      <c r="G34" s="10" t="n"/>
      <c r="H34" s="9" t="n"/>
      <c r="I34" s="11" t="n"/>
      <c r="J34" s="11" t="n"/>
      <c r="K34" s="10" t="n"/>
      <c r="L34" s="10" t="n"/>
      <c r="M34" s="12" t="n"/>
      <c r="N34" s="12" t="n"/>
      <c r="O34" s="12" t="n"/>
      <c r="P34" s="10" t="n"/>
    </row>
    <row r="35" ht="26" customHeight="1">
      <c r="A35" s="13" t="n">
        <v>30</v>
      </c>
      <c r="B35" s="14" t="n"/>
      <c r="C35" s="15" t="n"/>
      <c r="D35" s="15" t="n"/>
      <c r="E35" s="15" t="n"/>
      <c r="F35" s="15" t="n"/>
      <c r="G35" s="15" t="n"/>
      <c r="H35" s="14" t="n"/>
      <c r="I35" s="16" t="n"/>
      <c r="J35" s="16" t="n"/>
      <c r="K35" s="15" t="n"/>
      <c r="L35" s="15" t="n"/>
      <c r="M35" s="17" t="n"/>
      <c r="N35" s="17" t="n"/>
      <c r="O35" s="17" t="n"/>
      <c r="P35" s="15" t="n"/>
    </row>
  </sheetData>
  <mergeCells count="3">
    <mergeCell ref="A1:P1"/>
    <mergeCell ref="A3:P3"/>
    <mergeCell ref="A2:P2"/>
  </mergeCells>
  <dataValidations count="2">
    <dataValidation sqref="M6:N35" showDropDown="0" showInputMessage="0" showErrorMessage="0" allowBlank="1" type="list">
      <formula1>"Y,N"</formula1>
    </dataValidation>
    <dataValidation sqref="O6:O35" showDropDown="0" showInputMessage="0" showErrorMessage="0" allowBlank="1" type="list">
      <formula1>"Build,Maybe,Pivot"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D29"/>
  <sheetViews>
    <sheetView workbookViewId="0">
      <selection activeCell="A1" sqref="A1"/>
    </sheetView>
  </sheetViews>
  <sheetFormatPr baseColWidth="8" defaultRowHeight="15"/>
  <cols>
    <col width="3" customWidth="1" min="1" max="1"/>
    <col width="34" customWidth="1" min="2" max="2"/>
    <col width="16" customWidth="1" min="3" max="3"/>
    <col width="16" customWidth="1" min="4" max="4"/>
    <col width="3" customWidth="1" min="5" max="5"/>
  </cols>
  <sheetData>
    <row r="1" ht="28" customHeight="1">
      <c r="B1" s="18" t="inlineStr">
        <is>
          <t>Phase 0 — Patterns at a glance</t>
        </is>
      </c>
    </row>
    <row r="2">
      <c r="B2" s="19" t="inlineStr">
        <is>
          <t>Auto-fills from the Merchant Tracker tab as you log interviews.</t>
        </is>
      </c>
    </row>
    <row r="4" ht="20" customHeight="1">
      <c r="B4" s="20" t="inlineStr">
        <is>
          <t>PROGRESS</t>
        </is>
      </c>
    </row>
    <row r="5">
      <c r="B5" s="21" t="inlineStr">
        <is>
          <t>Interviews logged</t>
        </is>
      </c>
      <c r="C5" s="22">
        <f>COUNTA('Merchant Tracker'!$C$6:$C$35)</f>
        <v/>
      </c>
      <c r="D5" s="23" t="n"/>
    </row>
    <row r="6">
      <c r="B6" s="21" t="inlineStr">
        <is>
          <t>Build signals</t>
        </is>
      </c>
      <c r="C6" s="22">
        <f>COUNTIF('Merchant Tracker'!$O$6:$O$35,"Build")</f>
        <v/>
      </c>
      <c r="D6" s="23" t="n"/>
    </row>
    <row r="7">
      <c r="B7" s="21" t="inlineStr">
        <is>
          <t>Maybe signals</t>
        </is>
      </c>
      <c r="C7" s="22">
        <f>COUNTIF('Merchant Tracker'!$O$6:$O$35,"Maybe")</f>
        <v/>
      </c>
      <c r="D7" s="23" t="n"/>
    </row>
    <row r="8">
      <c r="B8" s="21" t="inlineStr">
        <is>
          <t>Pivot signals</t>
        </is>
      </c>
      <c r="C8" s="22">
        <f>COUNTIF('Merchant Tracker'!$O$6:$O$35,"Pivot")</f>
        <v/>
      </c>
      <c r="D8" s="23" t="n"/>
    </row>
    <row r="9">
      <c r="B9" s="21" t="inlineStr">
        <is>
          <t>Willing to be shown again</t>
        </is>
      </c>
      <c r="C9" s="22">
        <f>COUNTIF('Merchant Tracker'!$N$6:$N$35,"Y")</f>
        <v/>
      </c>
      <c r="D9" s="23" t="n"/>
    </row>
    <row r="10">
      <c r="B10" s="21" t="inlineStr">
        <is>
          <t>Already spend on collection</t>
        </is>
      </c>
      <c r="C10" s="22">
        <f>COUNTIF('Merchant Tracker'!$M$6:$M$35,"Y")</f>
        <v/>
      </c>
      <c r="D10" s="23" t="n"/>
    </row>
    <row r="12" ht="20" customHeight="1">
      <c r="B12" s="20" t="inlineStr">
        <is>
          <t>THE MONEY (the size of the pain)</t>
        </is>
      </c>
    </row>
    <row r="13">
      <c r="B13" s="21" t="inlineStr">
        <is>
          <t>Avg. baki outstanding</t>
        </is>
      </c>
      <c r="C13" s="24">
        <f>IFERROR(AVERAGE('Merchant Tracker'!$I$6:$I$35),0)</f>
        <v/>
      </c>
      <c r="D13" s="23" t="n"/>
    </row>
    <row r="14">
      <c r="B14" s="21" t="inlineStr">
        <is>
          <t>Avg. monthly loss / bad debt</t>
        </is>
      </c>
      <c r="C14" s="24">
        <f>IFERROR(AVERAGE('Merchant Tracker'!$J$6:$J$35),0)</f>
        <v/>
      </c>
      <c r="D14" s="23" t="n"/>
    </row>
    <row r="15">
      <c r="B15" s="21" t="inlineStr">
        <is>
          <t>Largest monthly loss seen</t>
        </is>
      </c>
      <c r="C15" s="24">
        <f>IFERROR(MAX('Merchant Tracker'!$J$6:$J$35),0)</f>
        <v/>
      </c>
      <c r="D15" s="23" t="n"/>
    </row>
    <row r="16">
      <c r="B16" s="21" t="inlineStr">
        <is>
          <t>Total monthly loss across all</t>
        </is>
      </c>
      <c r="C16" s="24">
        <f>IFERROR(SUM('Merchant Tracker'!$J$6:$J$35),0)</f>
        <v/>
      </c>
      <c r="D16" s="23" t="n"/>
    </row>
    <row r="18" ht="20" customHeight="1">
      <c r="B18" s="20" t="inlineStr">
        <is>
          <t>BY VERTICAL — find your wedge</t>
        </is>
      </c>
    </row>
    <row r="19" ht="26" customHeight="1">
      <c r="B19" s="25" t="inlineStr">
        <is>
          <t>Type each shop type you saw; counts + avg loss update automatically. Pick the one with the most pain + willingness.</t>
        </is>
      </c>
    </row>
    <row r="20">
      <c r="B20" s="26" t="inlineStr">
        <is>
          <t>Vertical (type here)</t>
        </is>
      </c>
      <c r="C20" s="26" t="inlineStr">
        <is>
          <t># seen</t>
        </is>
      </c>
      <c r="D20" s="26" t="inlineStr">
        <is>
          <t>Avg monthly loss</t>
        </is>
      </c>
    </row>
    <row r="21">
      <c r="B21" s="27" t="n"/>
      <c r="C21" s="28">
        <f>IF($B21="","",COUNTIF('Merchant Tracker'!$D$6:$D$35,$B21))</f>
        <v/>
      </c>
      <c r="D21" s="29">
        <f>IF($B21="","",IFERROR(AVERAGEIF('Merchant Tracker'!$D$6:$D$35,$B21,'Merchant Tracker'!$J$6:$J$35),0))</f>
        <v/>
      </c>
    </row>
    <row r="22">
      <c r="B22" s="27" t="n"/>
      <c r="C22" s="28">
        <f>IF($B22="","",COUNTIF('Merchant Tracker'!$D$6:$D$35,$B22))</f>
        <v/>
      </c>
      <c r="D22" s="29">
        <f>IF($B22="","",IFERROR(AVERAGEIF('Merchant Tracker'!$D$6:$D$35,$B22,'Merchant Tracker'!$J$6:$J$35),0))</f>
        <v/>
      </c>
    </row>
    <row r="23">
      <c r="B23" s="27" t="n"/>
      <c r="C23" s="28">
        <f>IF($B23="","",COUNTIF('Merchant Tracker'!$D$6:$D$35,$B23))</f>
        <v/>
      </c>
      <c r="D23" s="29">
        <f>IF($B23="","",IFERROR(AVERAGEIF('Merchant Tracker'!$D$6:$D$35,$B23,'Merchant Tracker'!$J$6:$J$35),0))</f>
        <v/>
      </c>
    </row>
    <row r="24">
      <c r="B24" s="27" t="n"/>
      <c r="C24" s="28">
        <f>IF($B24="","",COUNTIF('Merchant Tracker'!$D$6:$D$35,$B24))</f>
        <v/>
      </c>
      <c r="D24" s="29">
        <f>IF($B24="","",IFERROR(AVERAGEIF('Merchant Tracker'!$D$6:$D$35,$B24,'Merchant Tracker'!$J$6:$J$35),0))</f>
        <v/>
      </c>
    </row>
    <row r="25">
      <c r="B25" s="27" t="n"/>
      <c r="C25" s="28">
        <f>IF($B25="","",COUNTIF('Merchant Tracker'!$D$6:$D$35,$B25))</f>
        <v/>
      </c>
      <c r="D25" s="29">
        <f>IF($B25="","",IFERROR(AVERAGEIF('Merchant Tracker'!$D$6:$D$35,$B25,'Merchant Tracker'!$J$6:$J$35),0))</f>
        <v/>
      </c>
    </row>
    <row r="26">
      <c r="B26" s="27" t="n"/>
      <c r="C26" s="28">
        <f>IF($B26="","",COUNTIF('Merchant Tracker'!$D$6:$D$35,$B26))</f>
        <v/>
      </c>
      <c r="D26" s="29">
        <f>IF($B26="","",IFERROR(AVERAGEIF('Merchant Tracker'!$D$6:$D$35,$B26,'Merchant Tracker'!$J$6:$J$35),0))</f>
        <v/>
      </c>
    </row>
    <row r="27">
      <c r="B27" s="27" t="n"/>
      <c r="C27" s="28">
        <f>IF($B27="","",COUNTIF('Merchant Tracker'!$D$6:$D$35,$B27))</f>
        <v/>
      </c>
      <c r="D27" s="29">
        <f>IF($B27="","",IFERROR(AVERAGEIF('Merchant Tracker'!$D$6:$D$35,$B27,'Merchant Tracker'!$J$6:$J$35),0))</f>
        <v/>
      </c>
    </row>
    <row r="29" ht="30" customHeight="1">
      <c r="B29" s="30" t="inlineStr">
        <is>
          <t>→ Go / no-go: if Build signals are few and amounts are small, pivot the vertical or the feature before you write code.</t>
        </is>
      </c>
    </row>
  </sheetData>
  <mergeCells count="17">
    <mergeCell ref="B19:D19"/>
    <mergeCell ref="C6:D6"/>
    <mergeCell ref="C7:D7"/>
    <mergeCell ref="C10:D10"/>
    <mergeCell ref="C8:D8"/>
    <mergeCell ref="C15:D15"/>
    <mergeCell ref="C16:D16"/>
    <mergeCell ref="B1:D1"/>
    <mergeCell ref="B29:D29"/>
    <mergeCell ref="C5:D5"/>
    <mergeCell ref="B4:D4"/>
    <mergeCell ref="B18:D18"/>
    <mergeCell ref="C14:D14"/>
    <mergeCell ref="C13:D13"/>
    <mergeCell ref="C9:D9"/>
    <mergeCell ref="B12:D12"/>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2026-09-06T07:20:53Z</dcterms:created>
  <dcterms:modified xmlns:dcterms="http://purl.org/dc/terms/" xmlns:xsi="http://www.w3.org/2001/XMLSchema-instance" xsi:type="dcterms:W3CDTF">2026-09-06T07:20:53Z</dcterms:modified>
</cp:coreProperties>
</file>