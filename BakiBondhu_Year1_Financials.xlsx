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 P&amp;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৳&quot;#,##0;(&quot;৳&quot;#,##0);&quot;-&quot;"/>
    <numFmt numFmtId="165" formatCode="0.0%"/>
    <numFmt numFmtId="166" formatCode="&quot;৳&quot;0.00"/>
    <numFmt numFmtId="167" formatCode="&quot;৳&quot;0"/>
    <numFmt numFmtId="168" formatCode="&quot;M&quot;0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C6A61"/>
      <sz val="9"/>
    </font>
    <font>
      <name val="Arial"/>
      <b val="1"/>
      <color rgb="000E7A57"/>
      <sz val="8.5"/>
    </font>
    <font>
      <name val="Arial"/>
      <b val="1"/>
      <color rgb="0014261E"/>
      <sz val="11"/>
    </font>
    <font>
      <name val="Arial"/>
      <b val="1"/>
      <color rgb="000000FF"/>
      <sz val="12"/>
    </font>
    <font>
      <name val="Arial"/>
      <i val="1"/>
      <color rgb="00A96C15"/>
      <sz val="9"/>
    </font>
    <font>
      <name val="Arial"/>
      <b val="1"/>
      <color rgb="000E7A57"/>
      <sz val="9"/>
    </font>
    <font>
      <name val="Arial"/>
      <color rgb="001A1A1A"/>
      <sz val="10"/>
    </font>
    <font>
      <name val="Arial"/>
      <b val="1"/>
      <color rgb="001A1A1A"/>
      <sz val="11"/>
    </font>
    <font>
      <name val="Arial"/>
      <color rgb="000E7A57"/>
      <sz val="8.5"/>
    </font>
    <font>
      <name val="Arial"/>
      <b val="1"/>
      <color rgb="000000FF"/>
      <sz val="11"/>
    </font>
    <font>
      <name val="Arial"/>
      <color rgb="000000FF"/>
      <sz val="8.5"/>
    </font>
    <font>
      <name val="Arial"/>
      <b val="1"/>
      <color rgb="00FFFFFF"/>
      <sz val="8.5"/>
    </font>
    <font>
      <name val="Arial"/>
      <b val="1"/>
      <color rgb="001A1A1A"/>
      <sz val="9.5"/>
    </font>
    <font>
      <name val="Arial"/>
      <b val="1"/>
      <color rgb="000000FF"/>
      <sz val="9.5"/>
    </font>
    <font>
      <name val="Arial"/>
      <color rgb="000000FF"/>
      <sz val="9"/>
    </font>
    <font>
      <name val="Arial"/>
      <i val="1"/>
      <color rgb="005C6A61"/>
      <sz val="8.5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5C6A61"/>
      <sz val="9"/>
    </font>
    <font>
      <name val="Arial"/>
      <color rgb="005C6A61"/>
      <sz val="8.5"/>
    </font>
    <font>
      <name val="Arial"/>
      <b val="1"/>
      <color rgb="001A1A1A"/>
      <sz val="10"/>
    </font>
    <font>
      <name val="Arial"/>
      <color rgb="000000FF"/>
      <sz val="10"/>
    </font>
    <font>
      <name val="Arial"/>
      <b val="1"/>
      <color rgb="000E7A57"/>
      <sz val="10"/>
    </font>
    <font>
      <name val="Arial"/>
      <b val="1"/>
      <color rgb="00008000"/>
      <sz val="12"/>
    </font>
    <font>
      <name val="Arial"/>
      <b val="1"/>
      <color rgb="00FFFFFF"/>
      <sz val="9.5"/>
    </font>
  </fonts>
  <fills count="8">
    <fill>
      <patternFill/>
    </fill>
    <fill>
      <patternFill patternType="gray125"/>
    </fill>
    <fill>
      <patternFill patternType="solid">
        <fgColor rgb="0014261E"/>
      </patternFill>
    </fill>
    <fill>
      <patternFill patternType="solid">
        <fgColor rgb="00D6E8DE"/>
      </patternFill>
    </fill>
    <fill>
      <patternFill patternType="solid">
        <fgColor rgb="00FFF4C7"/>
      </patternFill>
    </fill>
    <fill>
      <patternFill patternType="solid">
        <fgColor rgb="00E4E9DF"/>
      </patternFill>
    </fill>
    <fill>
      <patternFill patternType="solid">
        <fgColor rgb="000E7A5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5CC"/>
      </left>
      <right style="thin">
        <color rgb="00D0D5CC"/>
      </right>
      <top style="thin">
        <color rgb="00D0D5CC"/>
      </top>
      <bottom style="thin">
        <color rgb="00D0D5C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indent="1"/>
    </xf>
    <xf numFmtId="0" fontId="3" fillId="3" borderId="0" applyAlignment="1" pivotButton="0" quotePrefix="0" xfId="0">
      <alignment indent="1"/>
    </xf>
    <xf numFmtId="0" fontId="4" fillId="0" borderId="0" applyAlignment="1" pivotButton="0" quotePrefix="0" xfId="0">
      <alignment indent="1"/>
    </xf>
    <xf numFmtId="0" fontId="5" fillId="4" borderId="1" applyAlignment="1" pivotButton="0" quotePrefix="0" xfId="0">
      <alignment horizontal="center"/>
    </xf>
    <xf numFmtId="0" fontId="6" fillId="0" borderId="0" applyAlignment="1" pivotButton="0" quotePrefix="0" xfId="0">
      <alignment vertical="center" indent="1"/>
    </xf>
    <xf numFmtId="0" fontId="7" fillId="0" borderId="0" pivotButton="0" quotePrefix="0" xfId="0"/>
    <xf numFmtId="0" fontId="8" fillId="0" borderId="1" applyAlignment="1" pivotButton="0" quotePrefix="0" xfId="0">
      <alignment indent="1"/>
    </xf>
    <xf numFmtId="164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indent="1"/>
    </xf>
    <xf numFmtId="165" fontId="9" fillId="0" borderId="1" applyAlignment="1" pivotButton="0" quotePrefix="0" xfId="0">
      <alignment horizontal="center"/>
    </xf>
    <xf numFmtId="1" fontId="11" fillId="0" borderId="1" applyAlignment="1" pivotButton="0" quotePrefix="0" xfId="0">
      <alignment horizontal="center"/>
    </xf>
    <xf numFmtId="0" fontId="12" fillId="0" borderId="1" applyAlignment="1" pivotButton="0" quotePrefix="0" xfId="0">
      <alignment indent="1"/>
    </xf>
    <xf numFmtId="166" fontId="11" fillId="0" borderId="1" applyAlignment="1" pivotButton="0" quotePrefix="0" xfId="0">
      <alignment horizontal="center"/>
    </xf>
    <xf numFmtId="167" fontId="11" fillId="0" borderId="1" applyAlignment="1" pivotButton="0" quotePrefix="0" xfId="0">
      <alignment horizontal="center"/>
    </xf>
    <xf numFmtId="0" fontId="6" fillId="0" borderId="0" applyAlignment="1" pivotButton="0" quotePrefix="0" xfId="0">
      <alignment wrapText="1" indent="1"/>
    </xf>
    <xf numFmtId="0" fontId="7" fillId="5" borderId="0" applyAlignment="1" pivotButton="0" quotePrefix="0" xfId="0">
      <alignment indent="1"/>
    </xf>
    <xf numFmtId="0" fontId="13" fillId="6" borderId="1" applyAlignment="1" pivotButton="0" quotePrefix="0" xfId="0">
      <alignment horizontal="left" indent="1"/>
    </xf>
    <xf numFmtId="0" fontId="13" fillId="6" borderId="1" applyAlignment="1" pivotButton="0" quotePrefix="0" xfId="0">
      <alignment horizontal="center"/>
    </xf>
    <xf numFmtId="0" fontId="14" fillId="7" borderId="1" applyAlignment="1" pivotButton="0" quotePrefix="0" xfId="0">
      <alignment indent="1"/>
    </xf>
    <xf numFmtId="164" fontId="15" fillId="0" borderId="1" applyAlignment="1" pivotButton="0" quotePrefix="0" xfId="0">
      <alignment horizontal="center"/>
    </xf>
    <xf numFmtId="165" fontId="15" fillId="0" borderId="1" applyAlignment="1" pivotButton="0" quotePrefix="0" xfId="0">
      <alignment horizontal="center"/>
    </xf>
    <xf numFmtId="1" fontId="16" fillId="0" borderId="1" applyAlignment="1" pivotButton="0" quotePrefix="0" xfId="0">
      <alignment horizontal="center"/>
    </xf>
    <xf numFmtId="0" fontId="14" fillId="4" borderId="1" applyAlignment="1" pivotButton="0" quotePrefix="0" xfId="0">
      <alignment indent="1"/>
    </xf>
    <xf numFmtId="0" fontId="17" fillId="0" borderId="0" applyAlignment="1" pivotButton="0" quotePrefix="0" xfId="0">
      <alignment indent="1"/>
    </xf>
    <xf numFmtId="0" fontId="18" fillId="2" borderId="0" applyAlignment="1" pivotButton="0" quotePrefix="0" xfId="0">
      <alignment vertical="center" indent="1"/>
    </xf>
    <xf numFmtId="0" fontId="7" fillId="0" borderId="0" applyAlignment="1" pivotButton="0" quotePrefix="0" xfId="0">
      <alignment indent="1"/>
    </xf>
    <xf numFmtId="0" fontId="19" fillId="6" borderId="1" applyAlignment="1" pivotButton="0" quotePrefix="0" xfId="0">
      <alignment indent="1"/>
    </xf>
    <xf numFmtId="168" fontId="19" fillId="6" borderId="1" applyAlignment="1" pivotButton="0" quotePrefix="0" xfId="0">
      <alignment horizontal="center"/>
    </xf>
    <xf numFmtId="0" fontId="20" fillId="0" borderId="0" applyAlignment="1" pivotButton="0" quotePrefix="0" xfId="0">
      <alignment indent="1"/>
    </xf>
    <xf numFmtId="0" fontId="21" fillId="0" borderId="0" applyAlignment="1" pivotButton="0" quotePrefix="0" xfId="0">
      <alignment horizontal="center"/>
    </xf>
    <xf numFmtId="1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indent="2"/>
    </xf>
    <xf numFmtId="0" fontId="22" fillId="0" borderId="1" applyAlignment="1" pivotButton="0" quotePrefix="0" xfId="0">
      <alignment indent="1"/>
    </xf>
    <xf numFmtId="1" fontId="22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164" fontId="22" fillId="0" borderId="1" applyAlignment="1" pivotButton="0" quotePrefix="0" xfId="0">
      <alignment horizontal="center"/>
    </xf>
    <xf numFmtId="164" fontId="23" fillId="0" borderId="1" applyAlignment="1" pivotButton="0" quotePrefix="0" xfId="0">
      <alignment horizontal="center"/>
    </xf>
    <xf numFmtId="0" fontId="8" fillId="0" borderId="0" applyAlignment="1" pivotButton="0" quotePrefix="0" xfId="0">
      <alignment indent="2"/>
    </xf>
    <xf numFmtId="1" fontId="8" fillId="0" borderId="0" applyAlignment="1" pivotButton="0" quotePrefix="0" xfId="0">
      <alignment horizontal="center"/>
    </xf>
    <xf numFmtId="0" fontId="24" fillId="0" borderId="0" applyAlignment="1" pivotButton="0" quotePrefix="0" xfId="0">
      <alignment indent="1"/>
    </xf>
    <xf numFmtId="164" fontId="25" fillId="0" borderId="1" applyAlignment="1" pivotButton="0" quotePrefix="0" xfId="0">
      <alignment horizontal="center"/>
    </xf>
    <xf numFmtId="1" fontId="25" fillId="0" borderId="1" applyAlignment="1" pivotButton="0" quotePrefix="0" xfId="0">
      <alignment horizontal="center"/>
    </xf>
    <xf numFmtId="0" fontId="25" fillId="0" borderId="1" applyAlignment="1" pivotButton="0" quotePrefix="0" xfId="0">
      <alignment horizontal="center"/>
    </xf>
    <xf numFmtId="0" fontId="26" fillId="2" borderId="1" applyAlignment="1" pivotButton="0" quotePrefix="0" xfId="0">
      <alignment horizontal="left" indent="1"/>
    </xf>
    <xf numFmtId="0" fontId="26" fillId="6" borderId="1" applyAlignment="1" pivotButton="0" quotePrefix="0" xfId="0">
      <alignment horizontal="center"/>
    </xf>
    <xf numFmtId="164" fontId="22" fillId="4" borderId="1" applyAlignment="1" pivotButton="0" quotePrefix="0" xfId="0">
      <alignment horizontal="center"/>
    </xf>
    <xf numFmtId="1" fontId="22" fillId="4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2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Costs vs Net — active scenario (৳/month)</a:t>
            </a:r>
          </a:p>
        </rich>
      </tx>
    </title>
    <plotArea>
      <lineChart>
        <grouping val="standard"/>
        <ser>
          <idx val="0"/>
          <order val="0"/>
          <tx>
            <v>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P&amp;L'!$B$3:$M$3</f>
            </numRef>
          </cat>
          <val>
            <numRef>
              <f>'Monthly P&amp;L'!$B$13:$M$13</f>
            </numRef>
          </val>
        </ser>
        <ser>
          <idx val="1"/>
          <order val="1"/>
          <tx>
            <v>Total costs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P&amp;L'!$B$3:$M$3</f>
            </numRef>
          </cat>
          <val>
            <numRef>
              <f>'Monthly P&amp;L'!$B$19:$M$19</f>
            </numRef>
          </val>
        </ser>
        <ser>
          <idx val="2"/>
          <order val="2"/>
          <tx>
            <v>Net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P&amp;L'!$B$3:$M$3</f>
            </numRef>
          </cat>
          <val>
            <numRef>
              <f>'Monthly P&amp;L'!$B$21:$M$21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27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22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3" customWidth="1" min="3" max="3"/>
    <col width="11" customWidth="1" min="4" max="4"/>
    <col width="6.6" customWidth="1" min="5" max="5"/>
    <col width="6.6" customWidth="1" min="6" max="6"/>
    <col width="6.6" customWidth="1" min="7" max="7"/>
    <col width="6.6" customWidth="1" min="8" max="8"/>
    <col width="6.6" customWidth="1" min="9" max="9"/>
    <col width="6.6" customWidth="1" min="10" max="10"/>
    <col width="6.6" customWidth="1" min="11" max="11"/>
    <col width="6.6" customWidth="1" min="12" max="12"/>
    <col width="6.6" customWidth="1" min="13" max="13"/>
    <col width="6.6" customWidth="1" min="14" max="14"/>
    <col width="6.6" customWidth="1" min="15" max="15"/>
    <col width="6.6" customWidth="1" min="16" max="16"/>
  </cols>
  <sheetData>
    <row r="1" ht="28" customHeight="1">
      <c r="B1" s="1" t="inlineStr">
        <is>
          <t>BakiBondhu — Year 1 Financial Model</t>
        </is>
      </c>
    </row>
    <row r="2">
      <c r="B2" s="2" t="inlineStr">
        <is>
          <t>Pick a scenario in the yellow cell — the whole model switches. Then fine-tune any blue input.</t>
        </is>
      </c>
    </row>
    <row r="4" ht="18" customHeight="1">
      <c r="B4" s="3" t="inlineStr">
        <is>
          <t>LEGEND:  yellow = choose / key   ·   blue = input you can change   ·   black = calculated</t>
        </is>
      </c>
    </row>
    <row r="5" ht="22" customHeight="1">
      <c r="B5" s="4" t="inlineStr">
        <is>
          <t>▶  ACTIVE SCENARIO</t>
        </is>
      </c>
      <c r="C5" s="5" t="inlineStr">
        <is>
          <t>Base</t>
        </is>
      </c>
      <c r="D5" s="6" t="inlineStr">
        <is>
          <t>←  change this one cell to switch Pessimistic / Base / Optimistic</t>
        </is>
      </c>
    </row>
    <row r="6">
      <c r="B6" s="7" t="inlineStr">
        <is>
          <t>ACTIVE DRIVERS</t>
        </is>
      </c>
    </row>
    <row r="7">
      <c r="B7" s="8" t="inlineStr">
        <is>
          <t>Subscription price — ARPU (৳/merchant/mo)</t>
        </is>
      </c>
      <c r="C7" s="9">
        <f>INDEX($C$17:$C$20,MATCH($C$5,$B$17:$B$20,0))</f>
        <v/>
      </c>
      <c r="D7" s="10" t="inlineStr">
        <is>
          <t>↳ by scenario</t>
        </is>
      </c>
    </row>
    <row r="8">
      <c r="B8" s="8" t="inlineStr">
        <is>
          <t>Monthly churn rate</t>
        </is>
      </c>
      <c r="C8" s="11">
        <f>INDEX($D$17:$D$20,MATCH($C$5,$B$17:$B$20,0))</f>
        <v/>
      </c>
      <c r="D8" s="10" t="inlineStr">
        <is>
          <t>↳ by scenario</t>
        </is>
      </c>
    </row>
    <row r="9">
      <c r="B9" s="8" t="inlineStr">
        <is>
          <t>Reminders per merchant / month</t>
        </is>
      </c>
      <c r="C9" s="12" t="n">
        <v>30</v>
      </c>
      <c r="D9" s="13" t="inlineStr">
        <is>
          <t>↳ input</t>
        </is>
      </c>
    </row>
    <row r="10">
      <c r="B10" s="8" t="inlineStr">
        <is>
          <t>Cost per SMS (৳)</t>
        </is>
      </c>
      <c r="C10" s="14" t="n">
        <v>0.35</v>
      </c>
      <c r="D10" s="13" t="inlineStr">
        <is>
          <t>↳ input</t>
        </is>
      </c>
    </row>
    <row r="11">
      <c r="B11" s="8" t="inlineStr">
        <is>
          <t>USD–BDT rate (memo, USD one-offs)</t>
        </is>
      </c>
      <c r="C11" s="15" t="n">
        <v>120</v>
      </c>
      <c r="D11" s="13" t="inlineStr">
        <is>
          <t>↳ input</t>
        </is>
      </c>
    </row>
    <row r="13" ht="16" customHeight="1">
      <c r="B13" s="16" t="inlineStr">
        <is>
          <t>Founder salary = ৳0 (sweat equity). Freelance income is personal runway on the P&amp;L, not business revenue.</t>
        </is>
      </c>
    </row>
    <row r="15" ht="17" customHeight="1">
      <c r="B15" s="17" t="inlineStr">
        <is>
          <t>SCENARIO LEVERS  —  edit any of these three rows</t>
        </is>
      </c>
    </row>
    <row r="16">
      <c r="B16" s="18" t="inlineStr">
        <is>
          <t>Scenario</t>
        </is>
      </c>
      <c r="C16" s="19" t="inlineStr">
        <is>
          <t>ARPU</t>
        </is>
      </c>
      <c r="D16" s="19" t="inlineStr">
        <is>
          <t>Churn</t>
        </is>
      </c>
      <c r="E16" s="19" t="inlineStr">
        <is>
          <t>M1</t>
        </is>
      </c>
      <c r="F16" s="19" t="inlineStr">
        <is>
          <t>M2</t>
        </is>
      </c>
      <c r="G16" s="19" t="inlineStr">
        <is>
          <t>M3</t>
        </is>
      </c>
      <c r="H16" s="19" t="inlineStr">
        <is>
          <t>M4</t>
        </is>
      </c>
      <c r="I16" s="19" t="inlineStr">
        <is>
          <t>M5</t>
        </is>
      </c>
      <c r="J16" s="19" t="inlineStr">
        <is>
          <t>M6</t>
        </is>
      </c>
      <c r="K16" s="19" t="inlineStr">
        <is>
          <t>M7</t>
        </is>
      </c>
      <c r="L16" s="19" t="inlineStr">
        <is>
          <t>M8</t>
        </is>
      </c>
      <c r="M16" s="19" t="inlineStr">
        <is>
          <t>M9</t>
        </is>
      </c>
      <c r="N16" s="19" t="inlineStr">
        <is>
          <t>M10</t>
        </is>
      </c>
      <c r="O16" s="19" t="inlineStr">
        <is>
          <t>M11</t>
        </is>
      </c>
      <c r="P16" s="19" t="inlineStr">
        <is>
          <t>M12</t>
        </is>
      </c>
    </row>
    <row r="17">
      <c r="B17" s="20" t="inlineStr">
        <is>
          <t>Nobody pays</t>
        </is>
      </c>
      <c r="C17" s="21" t="n">
        <v>0</v>
      </c>
      <c r="D17" s="22" t="n">
        <v>0</v>
      </c>
      <c r="E17" s="23" t="n">
        <v>0</v>
      </c>
      <c r="F17" s="23" t="n">
        <v>0</v>
      </c>
      <c r="G17" s="23" t="n">
        <v>0</v>
      </c>
      <c r="H17" s="23" t="n">
        <v>0</v>
      </c>
      <c r="I17" s="23" t="n">
        <v>0</v>
      </c>
      <c r="J17" s="23" t="n">
        <v>0</v>
      </c>
      <c r="K17" s="23" t="n">
        <v>0</v>
      </c>
      <c r="L17" s="23" t="n">
        <v>0</v>
      </c>
      <c r="M17" s="23" t="n">
        <v>0</v>
      </c>
      <c r="N17" s="23" t="n">
        <v>0</v>
      </c>
      <c r="O17" s="23" t="n">
        <v>0</v>
      </c>
      <c r="P17" s="23" t="n">
        <v>0</v>
      </c>
    </row>
    <row r="18">
      <c r="B18" s="20" t="inlineStr">
        <is>
          <t>Pessimistic</t>
        </is>
      </c>
      <c r="C18" s="21" t="n">
        <v>150</v>
      </c>
      <c r="D18" s="22" t="n">
        <v>0.1</v>
      </c>
      <c r="E18" s="23" t="n">
        <v>0</v>
      </c>
      <c r="F18" s="23" t="n">
        <v>0</v>
      </c>
      <c r="G18" s="23" t="n">
        <v>0</v>
      </c>
      <c r="H18" s="23" t="n">
        <v>0</v>
      </c>
      <c r="I18" s="23" t="n">
        <v>0</v>
      </c>
      <c r="J18" s="23" t="n">
        <v>0</v>
      </c>
      <c r="K18" s="23" t="n">
        <v>10</v>
      </c>
      <c r="L18" s="23" t="n">
        <v>15</v>
      </c>
      <c r="M18" s="23" t="n">
        <v>25</v>
      </c>
      <c r="N18" s="23" t="n">
        <v>35</v>
      </c>
      <c r="O18" s="23" t="n">
        <v>50</v>
      </c>
      <c r="P18" s="23" t="n">
        <v>70</v>
      </c>
    </row>
    <row r="19">
      <c r="B19" s="24" t="inlineStr">
        <is>
          <t>Base</t>
        </is>
      </c>
      <c r="C19" s="21" t="n">
        <v>200</v>
      </c>
      <c r="D19" s="22" t="n">
        <v>0.05</v>
      </c>
      <c r="E19" s="23" t="n">
        <v>0</v>
      </c>
      <c r="F19" s="23" t="n">
        <v>0</v>
      </c>
      <c r="G19" s="23" t="n">
        <v>0</v>
      </c>
      <c r="H19" s="23" t="n">
        <v>0</v>
      </c>
      <c r="I19" s="23" t="n">
        <v>0</v>
      </c>
      <c r="J19" s="23" t="n">
        <v>0</v>
      </c>
      <c r="K19" s="23" t="n">
        <v>25</v>
      </c>
      <c r="L19" s="23" t="n">
        <v>40</v>
      </c>
      <c r="M19" s="23" t="n">
        <v>60</v>
      </c>
      <c r="N19" s="23" t="n">
        <v>90</v>
      </c>
      <c r="O19" s="23" t="n">
        <v>130</v>
      </c>
      <c r="P19" s="23" t="n">
        <v>180</v>
      </c>
    </row>
    <row r="20">
      <c r="B20" s="20" t="inlineStr">
        <is>
          <t>Optimistic</t>
        </is>
      </c>
      <c r="C20" s="21" t="n">
        <v>250</v>
      </c>
      <c r="D20" s="22" t="n">
        <v>0.03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40</v>
      </c>
      <c r="L20" s="23" t="n">
        <v>70</v>
      </c>
      <c r="M20" s="23" t="n">
        <v>110</v>
      </c>
      <c r="N20" s="23" t="n">
        <v>160</v>
      </c>
      <c r="O20" s="23" t="n">
        <v>230</v>
      </c>
      <c r="P20" s="23" t="n">
        <v>320</v>
      </c>
    </row>
    <row r="22">
      <c r="B22" s="25" t="inlineStr">
        <is>
          <t>M1–M12 = new paying merchants added each month. Pre-revenue while you build (M1–M6), monetise from M7. 'Nobody pays' = the true floor: revenue stays ৳0 all year.</t>
        </is>
      </c>
    </row>
  </sheetData>
  <mergeCells count="7">
    <mergeCell ref="B15:P15"/>
    <mergeCell ref="D5:P5"/>
    <mergeCell ref="B2:P2"/>
    <mergeCell ref="B22:P22"/>
    <mergeCell ref="B1:P1"/>
    <mergeCell ref="B4:P4"/>
    <mergeCell ref="B13:P13"/>
  </mergeCells>
  <dataValidations count="1">
    <dataValidation sqref="C5" showDropDown="0" showInputMessage="0" showErrorMessage="0" allowBlank="0" type="list">
      <formula1>"Nobody pays,Pessimistic,Base,Optimistic"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6" customHeight="1">
      <c r="A1" s="26" t="inlineStr">
        <is>
          <t>Monthly P&amp;L — Year 1 (৳)</t>
        </is>
      </c>
    </row>
    <row r="2">
      <c r="A2" s="27">
        <f>" Active scenario:  "&amp;Assumptions!C5&amp;"      (blue rows are editable; new-merchant ramp is driven by the scenario)"</f>
        <v/>
      </c>
    </row>
    <row r="3" ht="20" customHeight="1">
      <c r="A3" s="28" t="inlineStr">
        <is>
          <t>Month</t>
        </is>
      </c>
      <c r="B3" s="29" t="n">
        <v>1</v>
      </c>
      <c r="C3" s="29" t="n">
        <v>2</v>
      </c>
      <c r="D3" s="29" t="n">
        <v>3</v>
      </c>
      <c r="E3" s="29" t="n">
        <v>4</v>
      </c>
      <c r="F3" s="29" t="n">
        <v>5</v>
      </c>
      <c r="G3" s="29" t="n">
        <v>6</v>
      </c>
      <c r="H3" s="29" t="n">
        <v>7</v>
      </c>
      <c r="I3" s="29" t="n">
        <v>8</v>
      </c>
      <c r="J3" s="29" t="n">
        <v>9</v>
      </c>
      <c r="K3" s="29" t="n">
        <v>10</v>
      </c>
      <c r="L3" s="29" t="n">
        <v>11</v>
      </c>
      <c r="M3" s="29" t="n">
        <v>12</v>
      </c>
    </row>
    <row r="4">
      <c r="A4" s="30" t="inlineStr">
        <is>
          <t>Phase</t>
        </is>
      </c>
      <c r="B4" s="31" t="inlineStr">
        <is>
          <t>Validate</t>
        </is>
      </c>
      <c r="C4" s="31" t="inlineStr">
        <is>
          <t>Validate</t>
        </is>
      </c>
      <c r="D4" s="31" t="inlineStr">
        <is>
          <t>Validate</t>
        </is>
      </c>
      <c r="E4" s="31" t="inlineStr">
        <is>
          <t>Build</t>
        </is>
      </c>
      <c r="F4" s="31" t="inlineStr">
        <is>
          <t>Build</t>
        </is>
      </c>
      <c r="G4" s="31" t="inlineStr">
        <is>
          <t>Build/Pilot</t>
        </is>
      </c>
      <c r="H4" s="31" t="inlineStr">
        <is>
          <t>Monetise</t>
        </is>
      </c>
      <c r="I4" s="31" t="inlineStr">
        <is>
          <t>Monetise</t>
        </is>
      </c>
      <c r="J4" s="31" t="inlineStr">
        <is>
          <t>Monetise</t>
        </is>
      </c>
      <c r="K4" s="31" t="inlineStr">
        <is>
          <t>Monetise</t>
        </is>
      </c>
      <c r="L4" s="31" t="inlineStr">
        <is>
          <t>Monetise</t>
        </is>
      </c>
      <c r="M4" s="31" t="inlineStr">
        <is>
          <t>Monetise</t>
        </is>
      </c>
    </row>
    <row r="5" ht="17" customHeight="1">
      <c r="A5" s="17" t="inlineStr">
        <is>
          <t>PAYING MERCHANTS</t>
        </is>
      </c>
    </row>
    <row r="6">
      <c r="A6" s="8" t="inlineStr">
        <is>
          <t>Paying merchants — beginning</t>
        </is>
      </c>
      <c r="B6" s="32" t="n">
        <v>0</v>
      </c>
      <c r="C6" s="32">
        <f>B9</f>
        <v/>
      </c>
      <c r="D6" s="32">
        <f>C9</f>
        <v/>
      </c>
      <c r="E6" s="32">
        <f>D9</f>
        <v/>
      </c>
      <c r="F6" s="32">
        <f>E9</f>
        <v/>
      </c>
      <c r="G6" s="32">
        <f>F9</f>
        <v/>
      </c>
      <c r="H6" s="32">
        <f>G9</f>
        <v/>
      </c>
      <c r="I6" s="32">
        <f>H9</f>
        <v/>
      </c>
      <c r="J6" s="32">
        <f>I9</f>
        <v/>
      </c>
      <c r="K6" s="32">
        <f>J9</f>
        <v/>
      </c>
      <c r="L6" s="32">
        <f>K9</f>
        <v/>
      </c>
      <c r="M6" s="32">
        <f>L9</f>
        <v/>
      </c>
    </row>
    <row r="7">
      <c r="A7" s="33" t="inlineStr">
        <is>
          <t>+ New paying merchants (by scenario)</t>
        </is>
      </c>
      <c r="B7" s="32">
        <f>INDEX(Assumptions!E$17:E$20,MATCH(Assumptions!$C$5,Assumptions!$B$17:$B$20,0))</f>
        <v/>
      </c>
      <c r="C7" s="32">
        <f>INDEX(Assumptions!F$17:F$20,MATCH(Assumptions!$C$5,Assumptions!$B$17:$B$20,0))</f>
        <v/>
      </c>
      <c r="D7" s="32">
        <f>INDEX(Assumptions!G$17:G$20,MATCH(Assumptions!$C$5,Assumptions!$B$17:$B$20,0))</f>
        <v/>
      </c>
      <c r="E7" s="32">
        <f>INDEX(Assumptions!H$17:H$20,MATCH(Assumptions!$C$5,Assumptions!$B$17:$B$20,0))</f>
        <v/>
      </c>
      <c r="F7" s="32">
        <f>INDEX(Assumptions!I$17:I$20,MATCH(Assumptions!$C$5,Assumptions!$B$17:$B$20,0))</f>
        <v/>
      </c>
      <c r="G7" s="32">
        <f>INDEX(Assumptions!J$17:J$20,MATCH(Assumptions!$C$5,Assumptions!$B$17:$B$20,0))</f>
        <v/>
      </c>
      <c r="H7" s="32">
        <f>INDEX(Assumptions!K$17:K$20,MATCH(Assumptions!$C$5,Assumptions!$B$17:$B$20,0))</f>
        <v/>
      </c>
      <c r="I7" s="32">
        <f>INDEX(Assumptions!L$17:L$20,MATCH(Assumptions!$C$5,Assumptions!$B$17:$B$20,0))</f>
        <v/>
      </c>
      <c r="J7" s="32">
        <f>INDEX(Assumptions!M$17:M$20,MATCH(Assumptions!$C$5,Assumptions!$B$17:$B$20,0))</f>
        <v/>
      </c>
      <c r="K7" s="32">
        <f>INDEX(Assumptions!N$17:N$20,MATCH(Assumptions!$C$5,Assumptions!$B$17:$B$20,0))</f>
        <v/>
      </c>
      <c r="L7" s="32">
        <f>INDEX(Assumptions!O$17:O$20,MATCH(Assumptions!$C$5,Assumptions!$B$17:$B$20,0))</f>
        <v/>
      </c>
      <c r="M7" s="32">
        <f>INDEX(Assumptions!P$17:P$20,MATCH(Assumptions!$C$5,Assumptions!$B$17:$B$20,0))</f>
        <v/>
      </c>
    </row>
    <row r="8">
      <c r="A8" s="8" t="inlineStr">
        <is>
          <t>− Churned</t>
        </is>
      </c>
      <c r="B8" s="32">
        <f>-ROUND(B6*Assumptions!$C$8,0)</f>
        <v/>
      </c>
      <c r="C8" s="32">
        <f>-ROUND(C6*Assumptions!$C$8,0)</f>
        <v/>
      </c>
      <c r="D8" s="32">
        <f>-ROUND(D6*Assumptions!$C$8,0)</f>
        <v/>
      </c>
      <c r="E8" s="32">
        <f>-ROUND(E6*Assumptions!$C$8,0)</f>
        <v/>
      </c>
      <c r="F8" s="32">
        <f>-ROUND(F6*Assumptions!$C$8,0)</f>
        <v/>
      </c>
      <c r="G8" s="32">
        <f>-ROUND(G6*Assumptions!$C$8,0)</f>
        <v/>
      </c>
      <c r="H8" s="32">
        <f>-ROUND(H6*Assumptions!$C$8,0)</f>
        <v/>
      </c>
      <c r="I8" s="32">
        <f>-ROUND(I6*Assumptions!$C$8,0)</f>
        <v/>
      </c>
      <c r="J8" s="32">
        <f>-ROUND(J6*Assumptions!$C$8,0)</f>
        <v/>
      </c>
      <c r="K8" s="32">
        <f>-ROUND(K6*Assumptions!$C$8,0)</f>
        <v/>
      </c>
      <c r="L8" s="32">
        <f>-ROUND(L6*Assumptions!$C$8,0)</f>
        <v/>
      </c>
      <c r="M8" s="32">
        <f>-ROUND(M6*Assumptions!$C$8,0)</f>
        <v/>
      </c>
    </row>
    <row r="9">
      <c r="A9" s="34">
        <f> Paying merchants — ending</f>
        <v/>
      </c>
      <c r="B9" s="35">
        <f>B6+B7+B8</f>
        <v/>
      </c>
      <c r="C9" s="35">
        <f>C6+C7+C8</f>
        <v/>
      </c>
      <c r="D9" s="35">
        <f>D6+D7+D8</f>
        <v/>
      </c>
      <c r="E9" s="35">
        <f>E6+E7+E8</f>
        <v/>
      </c>
      <c r="F9" s="35">
        <f>F6+F7+F8</f>
        <v/>
      </c>
      <c r="G9" s="35">
        <f>G6+G7+G8</f>
        <v/>
      </c>
      <c r="H9" s="35">
        <f>H6+H7+H8</f>
        <v/>
      </c>
      <c r="I9" s="35">
        <f>I6+I7+I8</f>
        <v/>
      </c>
      <c r="J9" s="35">
        <f>J6+J7+J8</f>
        <v/>
      </c>
      <c r="K9" s="35">
        <f>K6+K7+K8</f>
        <v/>
      </c>
      <c r="L9" s="35">
        <f>L6+L7+L8</f>
        <v/>
      </c>
      <c r="M9" s="35">
        <f>M6+M7+M8</f>
        <v/>
      </c>
    </row>
    <row r="10">
      <c r="A10" s="33" t="inlineStr">
        <is>
          <t>Average paying (for revenue)</t>
        </is>
      </c>
      <c r="B10" s="32">
        <f>(B6+B9)/2</f>
        <v/>
      </c>
      <c r="C10" s="32">
        <f>(C6+C9)/2</f>
        <v/>
      </c>
      <c r="D10" s="32">
        <f>(D6+D9)/2</f>
        <v/>
      </c>
      <c r="E10" s="32">
        <f>(E6+E9)/2</f>
        <v/>
      </c>
      <c r="F10" s="32">
        <f>(F6+F9)/2</f>
        <v/>
      </c>
      <c r="G10" s="32">
        <f>(G6+G9)/2</f>
        <v/>
      </c>
      <c r="H10" s="32">
        <f>(H6+H9)/2</f>
        <v/>
      </c>
      <c r="I10" s="32">
        <f>(I6+I9)/2</f>
        <v/>
      </c>
      <c r="J10" s="32">
        <f>(J6+J9)/2</f>
        <v/>
      </c>
      <c r="K10" s="32">
        <f>(K6+K9)/2</f>
        <v/>
      </c>
      <c r="L10" s="32">
        <f>(L6+L9)/2</f>
        <v/>
      </c>
      <c r="M10" s="32">
        <f>(M6+M9)/2</f>
        <v/>
      </c>
    </row>
    <row r="11" ht="17" customHeight="1">
      <c r="A11" s="17" t="inlineStr">
        <is>
          <t>REVENUE (৳ / month)</t>
        </is>
      </c>
    </row>
    <row r="12">
      <c r="A12" s="8" t="inlineStr">
        <is>
          <t>Subscription revenue</t>
        </is>
      </c>
      <c r="B12" s="36">
        <f>ROUND(B10*Assumptions!$C$7,0)</f>
        <v/>
      </c>
      <c r="C12" s="36">
        <f>ROUND(C10*Assumptions!$C$7,0)</f>
        <v/>
      </c>
      <c r="D12" s="36">
        <f>ROUND(D10*Assumptions!$C$7,0)</f>
        <v/>
      </c>
      <c r="E12" s="36">
        <f>ROUND(E10*Assumptions!$C$7,0)</f>
        <v/>
      </c>
      <c r="F12" s="36">
        <f>ROUND(F10*Assumptions!$C$7,0)</f>
        <v/>
      </c>
      <c r="G12" s="36">
        <f>ROUND(G10*Assumptions!$C$7,0)</f>
        <v/>
      </c>
      <c r="H12" s="36">
        <f>ROUND(H10*Assumptions!$C$7,0)</f>
        <v/>
      </c>
      <c r="I12" s="36">
        <f>ROUND(I10*Assumptions!$C$7,0)</f>
        <v/>
      </c>
      <c r="J12" s="36">
        <f>ROUND(J10*Assumptions!$C$7,0)</f>
        <v/>
      </c>
      <c r="K12" s="36">
        <f>ROUND(K10*Assumptions!$C$7,0)</f>
        <v/>
      </c>
      <c r="L12" s="36">
        <f>ROUND(L10*Assumptions!$C$7,0)</f>
        <v/>
      </c>
      <c r="M12" s="36">
        <f>ROUND(M10*Assumptions!$C$7,0)</f>
        <v/>
      </c>
    </row>
    <row r="13">
      <c r="A13" s="34" t="inlineStr">
        <is>
          <t>Total revenue</t>
        </is>
      </c>
      <c r="B13" s="37">
        <f>B12</f>
        <v/>
      </c>
      <c r="C13" s="37">
        <f>C12</f>
        <v/>
      </c>
      <c r="D13" s="37">
        <f>D12</f>
        <v/>
      </c>
      <c r="E13" s="37">
        <f>E12</f>
        <v/>
      </c>
      <c r="F13" s="37">
        <f>F12</f>
        <v/>
      </c>
      <c r="G13" s="37">
        <f>G12</f>
        <v/>
      </c>
      <c r="H13" s="37">
        <f>H12</f>
        <v/>
      </c>
      <c r="I13" s="37">
        <f>I12</f>
        <v/>
      </c>
      <c r="J13" s="37">
        <f>J12</f>
        <v/>
      </c>
      <c r="K13" s="37">
        <f>K12</f>
        <v/>
      </c>
      <c r="L13" s="37">
        <f>L12</f>
        <v/>
      </c>
      <c r="M13" s="37">
        <f>M12</f>
        <v/>
      </c>
    </row>
    <row r="14" ht="17" customHeight="1">
      <c r="A14" s="17" t="inlineStr">
        <is>
          <t>OPERATING COSTS (৳ / month)</t>
        </is>
      </c>
    </row>
    <row r="15">
      <c r="A15" s="8" t="inlineStr">
        <is>
          <t>SMS / reminder cost</t>
        </is>
      </c>
      <c r="B15" s="36">
        <f>ROUND(B10*Assumptions!$C$9*Assumptions!$C$10,0)</f>
        <v/>
      </c>
      <c r="C15" s="36">
        <f>ROUND(C10*Assumptions!$C$9*Assumptions!$C$10,0)</f>
        <v/>
      </c>
      <c r="D15" s="36">
        <f>ROUND(D10*Assumptions!$C$9*Assumptions!$C$10,0)</f>
        <v/>
      </c>
      <c r="E15" s="36">
        <f>ROUND(E10*Assumptions!$C$9*Assumptions!$C$10,0)</f>
        <v/>
      </c>
      <c r="F15" s="36">
        <f>ROUND(F10*Assumptions!$C$9*Assumptions!$C$10,0)</f>
        <v/>
      </c>
      <c r="G15" s="36">
        <f>ROUND(G10*Assumptions!$C$9*Assumptions!$C$10,0)</f>
        <v/>
      </c>
      <c r="H15" s="36">
        <f>ROUND(H10*Assumptions!$C$9*Assumptions!$C$10,0)</f>
        <v/>
      </c>
      <c r="I15" s="36">
        <f>ROUND(I10*Assumptions!$C$9*Assumptions!$C$10,0)</f>
        <v/>
      </c>
      <c r="J15" s="36">
        <f>ROUND(J10*Assumptions!$C$9*Assumptions!$C$10,0)</f>
        <v/>
      </c>
      <c r="K15" s="36">
        <f>ROUND(K10*Assumptions!$C$9*Assumptions!$C$10,0)</f>
        <v/>
      </c>
      <c r="L15" s="36">
        <f>ROUND(L10*Assumptions!$C$9*Assumptions!$C$10,0)</f>
        <v/>
      </c>
      <c r="M15" s="36">
        <f>ROUND(M10*Assumptions!$C$9*Assumptions!$C$10,0)</f>
        <v/>
      </c>
    </row>
    <row r="16">
      <c r="A16" s="33" t="inlineStr">
        <is>
          <t>Hosting &amp; infrastructure</t>
        </is>
      </c>
      <c r="B16" s="38" t="n">
        <v>0</v>
      </c>
      <c r="C16" s="38" t="n">
        <v>0</v>
      </c>
      <c r="D16" s="38" t="n">
        <v>0</v>
      </c>
      <c r="E16" s="38" t="n">
        <v>0</v>
      </c>
      <c r="F16" s="38" t="n">
        <v>0</v>
      </c>
      <c r="G16" s="38" t="n">
        <v>0</v>
      </c>
      <c r="H16" s="38" t="n">
        <v>0</v>
      </c>
      <c r="I16" s="38" t="n">
        <v>0</v>
      </c>
      <c r="J16" s="38" t="n">
        <v>0</v>
      </c>
      <c r="K16" s="38" t="n">
        <v>1500</v>
      </c>
      <c r="L16" s="38" t="n">
        <v>1500</v>
      </c>
      <c r="M16" s="38" t="n">
        <v>2000</v>
      </c>
    </row>
    <row r="17">
      <c r="A17" s="33" t="inlineStr">
        <is>
          <t>Tools &amp; misc</t>
        </is>
      </c>
      <c r="B17" s="38" t="n">
        <v>500</v>
      </c>
      <c r="C17" s="38" t="n">
        <v>500</v>
      </c>
      <c r="D17" s="38" t="n">
        <v>500</v>
      </c>
      <c r="E17" s="38" t="n">
        <v>500</v>
      </c>
      <c r="F17" s="38" t="n">
        <v>500</v>
      </c>
      <c r="G17" s="38" t="n">
        <v>500</v>
      </c>
      <c r="H17" s="38" t="n">
        <v>500</v>
      </c>
      <c r="I17" s="38" t="n">
        <v>500</v>
      </c>
      <c r="J17" s="38" t="n">
        <v>500</v>
      </c>
      <c r="K17" s="38" t="n">
        <v>500</v>
      </c>
      <c r="L17" s="38" t="n">
        <v>500</v>
      </c>
      <c r="M17" s="38" t="n">
        <v>500</v>
      </c>
    </row>
    <row r="18">
      <c r="A18" s="33" t="inlineStr">
        <is>
          <t>One-time costs</t>
        </is>
      </c>
      <c r="B18" s="38" t="n">
        <v>1500</v>
      </c>
      <c r="C18" s="38" t="n">
        <v>0</v>
      </c>
      <c r="D18" s="38" t="n">
        <v>0</v>
      </c>
      <c r="E18" s="38" t="n">
        <v>0</v>
      </c>
      <c r="F18" s="38" t="n">
        <v>0</v>
      </c>
      <c r="G18" s="38" t="n">
        <v>3000</v>
      </c>
      <c r="H18" s="38" t="n">
        <v>0</v>
      </c>
      <c r="I18" s="38" t="n">
        <v>0</v>
      </c>
      <c r="J18" s="38" t="n">
        <v>0</v>
      </c>
      <c r="K18" s="38" t="n">
        <v>0</v>
      </c>
      <c r="L18" s="38" t="n">
        <v>0</v>
      </c>
      <c r="M18" s="38" t="n">
        <v>0</v>
      </c>
    </row>
    <row r="19">
      <c r="A19" s="34" t="inlineStr">
        <is>
          <t>Total costs</t>
        </is>
      </c>
      <c r="B19" s="37">
        <f>B15+B16+B17+B18</f>
        <v/>
      </c>
      <c r="C19" s="37">
        <f>C15+C16+C17+C18</f>
        <v/>
      </c>
      <c r="D19" s="37">
        <f>D15+D16+D17+D18</f>
        <v/>
      </c>
      <c r="E19" s="37">
        <f>E15+E16+E17+E18</f>
        <v/>
      </c>
      <c r="F19" s="37">
        <f>F15+F16+F17+F18</f>
        <v/>
      </c>
      <c r="G19" s="37">
        <f>G15+G16+G17+G18</f>
        <v/>
      </c>
      <c r="H19" s="37">
        <f>H15+H16+H17+H18</f>
        <v/>
      </c>
      <c r="I19" s="37">
        <f>I15+I16+I17+I18</f>
        <v/>
      </c>
      <c r="J19" s="37">
        <f>J15+J16+J17+J18</f>
        <v/>
      </c>
      <c r="K19" s="37">
        <f>K15+K16+K17+K18</f>
        <v/>
      </c>
      <c r="L19" s="37">
        <f>L15+L16+L17+L18</f>
        <v/>
      </c>
      <c r="M19" s="37">
        <f>M15+M16+M17+M18</f>
        <v/>
      </c>
    </row>
    <row r="20" ht="17" customHeight="1">
      <c r="A20" s="17" t="inlineStr">
        <is>
          <t>RESULT (৳)</t>
        </is>
      </c>
    </row>
    <row r="21">
      <c r="A21" s="34" t="inlineStr">
        <is>
          <t>Net profit / (loss) — business</t>
        </is>
      </c>
      <c r="B21" s="37">
        <f>B13-B19</f>
        <v/>
      </c>
      <c r="C21" s="37">
        <f>C13-C19</f>
        <v/>
      </c>
      <c r="D21" s="37">
        <f>D13-D19</f>
        <v/>
      </c>
      <c r="E21" s="37">
        <f>E13-E19</f>
        <v/>
      </c>
      <c r="F21" s="37">
        <f>F13-F19</f>
        <v/>
      </c>
      <c r="G21" s="37">
        <f>G13-G19</f>
        <v/>
      </c>
      <c r="H21" s="37">
        <f>H13-H19</f>
        <v/>
      </c>
      <c r="I21" s="37">
        <f>I13-I19</f>
        <v/>
      </c>
      <c r="J21" s="37">
        <f>J13-J19</f>
        <v/>
      </c>
      <c r="K21" s="37">
        <f>K13-K19</f>
        <v/>
      </c>
      <c r="L21" s="37">
        <f>L13-L19</f>
        <v/>
      </c>
      <c r="M21" s="37">
        <f>M13-M19</f>
        <v/>
      </c>
    </row>
    <row r="22">
      <c r="A22" s="8" t="inlineStr">
        <is>
          <t>Cumulative net — business</t>
        </is>
      </c>
      <c r="B22" s="36">
        <f>B21</f>
        <v/>
      </c>
      <c r="C22" s="36">
        <f>B22+C21</f>
        <v/>
      </c>
      <c r="D22" s="36">
        <f>C22+D21</f>
        <v/>
      </c>
      <c r="E22" s="36">
        <f>D22+E21</f>
        <v/>
      </c>
      <c r="F22" s="36">
        <f>E22+F21</f>
        <v/>
      </c>
      <c r="G22" s="36">
        <f>F22+G21</f>
        <v/>
      </c>
      <c r="H22" s="36">
        <f>G22+H21</f>
        <v/>
      </c>
      <c r="I22" s="36">
        <f>H22+I21</f>
        <v/>
      </c>
      <c r="J22" s="36">
        <f>I22+J21</f>
        <v/>
      </c>
      <c r="K22" s="36">
        <f>J22+K21</f>
        <v/>
      </c>
      <c r="L22" s="36">
        <f>K22+L21</f>
        <v/>
      </c>
      <c r="M22" s="36">
        <f>L22+M21</f>
        <v/>
      </c>
    </row>
    <row r="23" hidden="1">
      <c r="A23" s="39" t="inlineStr">
        <is>
          <t>(helper) break-even month</t>
        </is>
      </c>
      <c r="B23" s="40">
        <f>IF(B21&gt;=0,B3,"")</f>
        <v/>
      </c>
      <c r="C23" s="40">
        <f>IF(C21&gt;=0,C3,"")</f>
        <v/>
      </c>
      <c r="D23" s="40">
        <f>IF(D21&gt;=0,D3,"")</f>
        <v/>
      </c>
      <c r="E23" s="40">
        <f>IF(E21&gt;=0,E3,"")</f>
        <v/>
      </c>
      <c r="F23" s="40">
        <f>IF(F21&gt;=0,F3,"")</f>
        <v/>
      </c>
      <c r="G23" s="40">
        <f>IF(G21&gt;=0,G3,"")</f>
        <v/>
      </c>
      <c r="H23" s="40">
        <f>IF(H21&gt;=0,H3,"")</f>
        <v/>
      </c>
      <c r="I23" s="40">
        <f>IF(I21&gt;=0,I3,"")</f>
        <v/>
      </c>
      <c r="J23" s="40">
        <f>IF(J21&gt;=0,J3,"")</f>
        <v/>
      </c>
      <c r="K23" s="40">
        <f>IF(K21&gt;=0,K3,"")</f>
        <v/>
      </c>
      <c r="L23" s="40">
        <f>IF(L21&gt;=0,L3,"")</f>
        <v/>
      </c>
      <c r="M23" s="40">
        <f>IF(M21&gt;=0,M3,"")</f>
        <v/>
      </c>
    </row>
    <row r="24" ht="17" customHeight="1">
      <c r="A24" s="17" t="inlineStr">
        <is>
          <t>FOUNDER RUNWAY — personal, memo only (NOT business revenue)</t>
        </is>
      </c>
    </row>
    <row r="25">
      <c r="A25" s="33" t="inlineStr">
        <is>
          <t>Freelance income (personal)</t>
        </is>
      </c>
      <c r="B25" s="38" t="n">
        <v>40000</v>
      </c>
      <c r="C25" s="38" t="n">
        <v>40000</v>
      </c>
      <c r="D25" s="38" t="n">
        <v>40000</v>
      </c>
      <c r="E25" s="38" t="n">
        <v>40000</v>
      </c>
      <c r="F25" s="38" t="n">
        <v>40000</v>
      </c>
      <c r="G25" s="38" t="n">
        <v>40000</v>
      </c>
      <c r="H25" s="38" t="n">
        <v>40000</v>
      </c>
      <c r="I25" s="38" t="n">
        <v>40000</v>
      </c>
      <c r="J25" s="38" t="n">
        <v>40000</v>
      </c>
      <c r="K25" s="38" t="n">
        <v>30000</v>
      </c>
      <c r="L25" s="38" t="n">
        <v>30000</v>
      </c>
      <c r="M25" s="38" t="n">
        <v>20000</v>
      </c>
    </row>
    <row r="26">
      <c r="A26" s="8" t="inlineStr">
        <is>
          <t>Net incl. freelance</t>
        </is>
      </c>
      <c r="B26" s="36">
        <f>B21+B25</f>
        <v/>
      </c>
      <c r="C26" s="36">
        <f>C21+C25</f>
        <v/>
      </c>
      <c r="D26" s="36">
        <f>D21+D25</f>
        <v/>
      </c>
      <c r="E26" s="36">
        <f>E21+E25</f>
        <v/>
      </c>
      <c r="F26" s="36">
        <f>F21+F25</f>
        <v/>
      </c>
      <c r="G26" s="36">
        <f>G21+G25</f>
        <v/>
      </c>
      <c r="H26" s="36">
        <f>H21+H25</f>
        <v/>
      </c>
      <c r="I26" s="36">
        <f>I21+I25</f>
        <v/>
      </c>
      <c r="J26" s="36">
        <f>J21+J25</f>
        <v/>
      </c>
      <c r="K26" s="36">
        <f>K21+K25</f>
        <v/>
      </c>
      <c r="L26" s="36">
        <f>L21+L25</f>
        <v/>
      </c>
      <c r="M26" s="36">
        <f>M21+M25</f>
        <v/>
      </c>
    </row>
    <row r="27">
      <c r="A27" s="34" t="inlineStr">
        <is>
          <t>Cumulative incl. freelance</t>
        </is>
      </c>
      <c r="B27" s="37">
        <f>B26</f>
        <v/>
      </c>
      <c r="C27" s="37">
        <f>B27+C26</f>
        <v/>
      </c>
      <c r="D27" s="37">
        <f>C27+D26</f>
        <v/>
      </c>
      <c r="E27" s="37">
        <f>D27+E26</f>
        <v/>
      </c>
      <c r="F27" s="37">
        <f>E27+F26</f>
        <v/>
      </c>
      <c r="G27" s="37">
        <f>F27+G26</f>
        <v/>
      </c>
      <c r="H27" s="37">
        <f>G27+H26</f>
        <v/>
      </c>
      <c r="I27" s="37">
        <f>H27+I26</f>
        <v/>
      </c>
      <c r="J27" s="37">
        <f>I27+J26</f>
        <v/>
      </c>
      <c r="K27" s="37">
        <f>J27+K26</f>
        <v/>
      </c>
      <c r="L27" s="37">
        <f>K27+L26</f>
        <v/>
      </c>
      <c r="M27" s="37">
        <f>L27+M26</f>
        <v/>
      </c>
    </row>
  </sheetData>
  <mergeCells count="7">
    <mergeCell ref="A14:M14"/>
    <mergeCell ref="A1:M1"/>
    <mergeCell ref="A5:M5"/>
    <mergeCell ref="A20:M20"/>
    <mergeCell ref="A24:M24"/>
    <mergeCell ref="A2:M2"/>
    <mergeCell ref="A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25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8" customHeight="1">
      <c r="B1" s="1" t="inlineStr">
        <is>
          <t>Year 1 — Headline Numbers</t>
        </is>
      </c>
    </row>
    <row r="2">
      <c r="B2" s="41">
        <f>"Active scenario:  "&amp;Assumptions!C5&amp;"   —  switch it on the Assumptions tab"</f>
        <v/>
      </c>
    </row>
    <row r="4">
      <c r="B4" s="7" t="inlineStr">
        <is>
          <t>ACTIVE SCENARIO — BUSINESS</t>
        </is>
      </c>
    </row>
    <row r="5">
      <c r="B5" s="8" t="inlineStr">
        <is>
          <t>Year 1 total revenue</t>
        </is>
      </c>
      <c r="C5" s="42">
        <f>SUM('Monthly P&amp;L'!B13:M13)</f>
        <v/>
      </c>
    </row>
    <row r="6">
      <c r="B6" s="8" t="inlineStr">
        <is>
          <t>Year 1 total costs</t>
        </is>
      </c>
      <c r="C6" s="42">
        <f>SUM('Monthly P&amp;L'!B19:M19)</f>
        <v/>
      </c>
    </row>
    <row r="7">
      <c r="B7" s="8" t="inlineStr">
        <is>
          <t>Year 1 net profit / (loss)</t>
        </is>
      </c>
      <c r="C7" s="42">
        <f>SUM('Monthly P&amp;L'!B21:M21)</f>
        <v/>
      </c>
    </row>
    <row r="8">
      <c r="B8" s="8" t="inlineStr">
        <is>
          <t>Paying merchants at Month 12</t>
        </is>
      </c>
      <c r="C8" s="43">
        <f>'Monthly P&amp;L'!M9</f>
        <v/>
      </c>
    </row>
    <row r="9">
      <c r="B9" s="8" t="inlineStr">
        <is>
          <t>MRR at Month 12</t>
        </is>
      </c>
      <c r="C9" s="42">
        <f>'Monthly P&amp;L'!M13</f>
        <v/>
      </c>
    </row>
    <row r="10">
      <c r="B10" s="8" t="inlineStr">
        <is>
          <t>Monthly break-even</t>
        </is>
      </c>
      <c r="C10" s="44">
        <f>IF(COUNT('Monthly P&amp;L'!B23:M23)=0,"After Yr 1","Month "&amp;MIN('Monthly P&amp;L'!B23:M23))</f>
        <v/>
      </c>
    </row>
    <row r="11">
      <c r="B11" s="8" t="inlineStr">
        <is>
          <t>Peak cash gap to cover (business)</t>
        </is>
      </c>
      <c r="C11" s="42">
        <f>-MIN('Monthly P&amp;L'!B22:M22)</f>
        <v/>
      </c>
    </row>
    <row r="13">
      <c r="B13" s="7" t="inlineStr">
        <is>
          <t>FOUNDER RUNWAY (personal)</t>
        </is>
      </c>
    </row>
    <row r="14">
      <c r="B14" s="8" t="inlineStr">
        <is>
          <t>Freelance income needed (Year 1)</t>
        </is>
      </c>
      <c r="C14" s="42">
        <f>SUM('Monthly P&amp;L'!B25:M25)</f>
        <v/>
      </c>
    </row>
    <row r="15">
      <c r="B15" s="8" t="inlineStr">
        <is>
          <t>Combined cash at Month 12</t>
        </is>
      </c>
      <c r="C15" s="42">
        <f>'Monthly P&amp;L'!M27</f>
        <v/>
      </c>
    </row>
    <row r="18">
      <c r="B18" s="17" t="inlineStr">
        <is>
          <t>SCENARIO COMPARISON  —  snapshot at default inputs (toggle Active Scenario for the live model)</t>
        </is>
      </c>
    </row>
    <row r="19">
      <c r="B19" s="45" t="inlineStr">
        <is>
          <t>Metric</t>
        </is>
      </c>
      <c r="C19" s="46" t="inlineStr">
        <is>
          <t>Nobody pays</t>
        </is>
      </c>
      <c r="D19" s="46" t="inlineStr">
        <is>
          <t>Pessimistic</t>
        </is>
      </c>
      <c r="E19" s="46" t="inlineStr">
        <is>
          <t>Base</t>
        </is>
      </c>
      <c r="F19" s="46" t="inlineStr">
        <is>
          <t>Optimistic</t>
        </is>
      </c>
    </row>
    <row r="20">
      <c r="B20" s="8" t="inlineStr">
        <is>
          <t>Year 1 revenue</t>
        </is>
      </c>
      <c r="C20" s="36" t="n">
        <v>0</v>
      </c>
      <c r="D20" s="36" t="n">
        <v>54825</v>
      </c>
      <c r="E20" s="47" t="n">
        <v>196900</v>
      </c>
      <c r="F20" s="36" t="n">
        <v>442375</v>
      </c>
    </row>
    <row r="21">
      <c r="B21" s="8" t="inlineStr">
        <is>
          <t>Year 1 net</t>
        </is>
      </c>
      <c r="C21" s="36" t="n">
        <v>-15500</v>
      </c>
      <c r="D21" s="36" t="n">
        <v>35488</v>
      </c>
      <c r="E21" s="47" t="n">
        <v>171063</v>
      </c>
      <c r="F21" s="36" t="n">
        <v>408296</v>
      </c>
    </row>
    <row r="22">
      <c r="B22" s="8" t="inlineStr">
        <is>
          <t>Paying merchants @ M12</t>
        </is>
      </c>
      <c r="C22" s="32" t="n">
        <v>0</v>
      </c>
      <c r="D22" s="32" t="n">
        <v>177</v>
      </c>
      <c r="E22" s="48" t="n">
        <v>489</v>
      </c>
      <c r="F22" s="32" t="n">
        <v>891</v>
      </c>
    </row>
    <row r="23">
      <c r="B23" s="8" t="inlineStr">
        <is>
          <t>MRR @ M12</t>
        </is>
      </c>
      <c r="C23" s="36" t="n">
        <v>0</v>
      </c>
      <c r="D23" s="36" t="n">
        <v>22200</v>
      </c>
      <c r="E23" s="47" t="n">
        <v>81400</v>
      </c>
      <c r="F23" s="36" t="n">
        <v>185000</v>
      </c>
    </row>
    <row r="24">
      <c r="B24" s="8" t="inlineStr">
        <is>
          <t>Break-even</t>
        </is>
      </c>
      <c r="C24" s="49" t="inlineStr">
        <is>
          <t>After Yr1</t>
        </is>
      </c>
      <c r="D24" s="49" t="inlineStr">
        <is>
          <t>Month 7</t>
        </is>
      </c>
      <c r="E24" s="50" t="inlineStr">
        <is>
          <t>Month 7</t>
        </is>
      </c>
      <c r="F24" s="49" t="inlineStr">
        <is>
          <t>Month 7</t>
        </is>
      </c>
    </row>
    <row r="25">
      <c r="B25" s="8" t="inlineStr">
        <is>
          <t>Peak cash gap</t>
        </is>
      </c>
      <c r="C25" s="36" t="n">
        <v>15500</v>
      </c>
      <c r="D25" s="36" t="n">
        <v>7500</v>
      </c>
      <c r="E25" s="47" t="n">
        <v>7500</v>
      </c>
      <c r="F25" s="36" t="n">
        <v>7500</v>
      </c>
    </row>
  </sheetData>
  <mergeCells count="3">
    <mergeCell ref="B2:F2"/>
    <mergeCell ref="B18:F18"/>
    <mergeCell ref="B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2026-09-06T09:30:42Z</dcterms:created>
  <dcterms:modified xmlns:dcterms="http://purl.org/dc/terms/" xmlns:xsi="http://www.w3.org/2001/XMLSchema-instance" xsi:type="dcterms:W3CDTF">2026-09-06T09:30:42Z</dcterms:modified>
</cp:coreProperties>
</file>